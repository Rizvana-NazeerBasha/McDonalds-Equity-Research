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ink/ink1.xml" ContentType="application/inkml+xml"/>
  <Override PartName="/xl/ink/ink2.xml" ContentType="application/inkml+xml"/>
  <Override PartName="/xl/ink/ink3.xml" ContentType="application/inkml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Learning\Project McDonald's Corporation\"/>
    </mc:Choice>
  </mc:AlternateContent>
  <xr:revisionPtr revIDLastSave="0" documentId="13_ncr:1_{81AD91E6-2C9D-4DB1-BEB4-DD7CD2970E1A}" xr6:coauthVersionLast="47" xr6:coauthVersionMax="47" xr10:uidLastSave="{00000000-0000-0000-0000-000000000000}"/>
  <bookViews>
    <workbookView xWindow="-108" yWindow="-108" windowWidth="23256" windowHeight="12456" tabRatio="706" firstSheet="1" activeTab="10" xr2:uid="{00000000-000D-0000-FFFF-FFFF00000000}"/>
  </bookViews>
  <sheets>
    <sheet name="Dep Calculation" sheetId="13" r:id="rId1"/>
    <sheet name="Raw" sheetId="12" r:id="rId2"/>
    <sheet name="Revenue Segments" sheetId="6" r:id="rId3"/>
    <sheet name="McD IS" sheetId="7" r:id="rId4"/>
    <sheet name="McD-BS" sheetId="4" r:id="rId5"/>
    <sheet name="McD-CFS" sheetId="2" r:id="rId6"/>
    <sheet name="Debt Schedule" sheetId="1" r:id="rId7"/>
    <sheet name="Fixed Assets Schedule" sheetId="3" r:id="rId8"/>
    <sheet name="Beta" sheetId="9" r:id="rId9"/>
    <sheet name="WACC" sheetId="10" r:id="rId10"/>
    <sheet name="DCF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1" l="1"/>
  <c r="G39" i="11" s="1"/>
  <c r="J41" i="11"/>
  <c r="J42" i="11" s="1"/>
  <c r="J43" i="11" s="1"/>
  <c r="J44" i="11" s="1"/>
  <c r="J45" i="11" s="1"/>
  <c r="J46" i="11" s="1"/>
  <c r="J47" i="11" s="1"/>
  <c r="J48" i="11" s="1"/>
  <c r="L39" i="11"/>
  <c r="M39" i="11" s="1"/>
  <c r="N39" i="11" s="1"/>
  <c r="O39" i="11" s="1"/>
  <c r="P39" i="11" s="1"/>
  <c r="Q39" i="11" s="1"/>
  <c r="R39" i="11" s="1"/>
  <c r="S39" i="11" s="1"/>
  <c r="F54" i="11"/>
  <c r="G54" i="11" s="1"/>
  <c r="F53" i="11"/>
  <c r="F38" i="11"/>
  <c r="J28" i="11"/>
  <c r="J29" i="11"/>
  <c r="J30" i="11"/>
  <c r="J31" i="11"/>
  <c r="J32" i="11"/>
  <c r="J33" i="11"/>
  <c r="J34" i="11" s="1"/>
  <c r="J27" i="11"/>
  <c r="D52" i="11" l="1"/>
  <c r="D43" i="11"/>
  <c r="D42" i="11"/>
  <c r="L25" i="11"/>
  <c r="M25" i="11" s="1"/>
  <c r="N25" i="11" s="1"/>
  <c r="O25" i="11" s="1"/>
  <c r="P25" i="11" s="1"/>
  <c r="Q25" i="11" s="1"/>
  <c r="R25" i="11" s="1"/>
  <c r="S25" i="11" s="1"/>
  <c r="D37" i="11" l="1"/>
  <c r="D35" i="11"/>
  <c r="D34" i="11"/>
  <c r="D33" i="11"/>
  <c r="D31" i="11"/>
  <c r="E27" i="11"/>
  <c r="D27" i="11"/>
  <c r="E16" i="11"/>
  <c r="F16" i="11"/>
  <c r="G16" i="11"/>
  <c r="H16" i="11"/>
  <c r="I16" i="11"/>
  <c r="D16" i="11"/>
  <c r="E15" i="11"/>
  <c r="F15" i="11"/>
  <c r="G15" i="11"/>
  <c r="H15" i="11"/>
  <c r="I15" i="11"/>
  <c r="D15" i="11"/>
  <c r="E14" i="11"/>
  <c r="F14" i="11"/>
  <c r="G14" i="11"/>
  <c r="H14" i="11"/>
  <c r="I14" i="11"/>
  <c r="D14" i="11"/>
  <c r="G12" i="11"/>
  <c r="G13" i="11" s="1"/>
  <c r="G17" i="11" s="1"/>
  <c r="H12" i="11"/>
  <c r="H13" i="11" s="1"/>
  <c r="H17" i="11" s="1"/>
  <c r="I12" i="11"/>
  <c r="I13" i="11" s="1"/>
  <c r="I17" i="11" s="1"/>
  <c r="E11" i="11"/>
  <c r="F11" i="11"/>
  <c r="G11" i="11"/>
  <c r="H11" i="11"/>
  <c r="I11" i="11"/>
  <c r="D11" i="11"/>
  <c r="E10" i="11"/>
  <c r="F10" i="11"/>
  <c r="G10" i="11"/>
  <c r="H10" i="11"/>
  <c r="I10" i="11"/>
  <c r="D10" i="11"/>
  <c r="F9" i="11"/>
  <c r="G9" i="11" s="1"/>
  <c r="H9" i="11" s="1"/>
  <c r="I9" i="11" s="1"/>
  <c r="E9" i="11"/>
  <c r="C7" i="11"/>
  <c r="D12" i="11" s="1"/>
  <c r="D13" i="11" s="1"/>
  <c r="D17" i="11" s="1"/>
  <c r="M59" i="10"/>
  <c r="Q59" i="10" s="1"/>
  <c r="N59" i="10"/>
  <c r="O59" i="10"/>
  <c r="P59" i="10"/>
  <c r="L59" i="10"/>
  <c r="M55" i="10"/>
  <c r="F12" i="11" l="1"/>
  <c r="F13" i="11" s="1"/>
  <c r="F17" i="11" s="1"/>
  <c r="E12" i="11"/>
  <c r="E13" i="11" s="1"/>
  <c r="E17" i="11" s="1"/>
  <c r="M52" i="10"/>
  <c r="M54" i="10" s="1"/>
  <c r="M56" i="10" s="1"/>
  <c r="M46" i="10"/>
  <c r="D58" i="10" l="1"/>
  <c r="F58" i="10" s="1"/>
  <c r="D57" i="10"/>
  <c r="F57" i="10" s="1"/>
  <c r="D56" i="10"/>
  <c r="F56" i="10" s="1"/>
  <c r="M42" i="10" l="1"/>
  <c r="M45" i="10" s="1"/>
  <c r="M47" i="10" s="1"/>
  <c r="M36" i="10"/>
  <c r="M35" i="10"/>
  <c r="D27" i="10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2" i="9"/>
  <c r="AB123" i="9"/>
  <c r="AB124" i="9"/>
  <c r="AB125" i="9"/>
  <c r="AB126" i="9"/>
  <c r="AB127" i="9"/>
  <c r="AB128" i="9"/>
  <c r="AB129" i="9"/>
  <c r="AB130" i="9"/>
  <c r="AB131" i="9"/>
  <c r="AB132" i="9"/>
  <c r="AB133" i="9"/>
  <c r="AB134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  <c r="AB147" i="9"/>
  <c r="AB148" i="9"/>
  <c r="AB149" i="9"/>
  <c r="AB150" i="9"/>
  <c r="AB151" i="9"/>
  <c r="AB152" i="9"/>
  <c r="AB153" i="9"/>
  <c r="AB154" i="9"/>
  <c r="AB155" i="9"/>
  <c r="AB156" i="9"/>
  <c r="AB157" i="9"/>
  <c r="AB158" i="9"/>
  <c r="AB159" i="9"/>
  <c r="AB160" i="9"/>
  <c r="AB161" i="9"/>
  <c r="AB162" i="9"/>
  <c r="AB163" i="9"/>
  <c r="AB164" i="9"/>
  <c r="AB165" i="9"/>
  <c r="AB166" i="9"/>
  <c r="AB167" i="9"/>
  <c r="AB168" i="9"/>
  <c r="AB169" i="9"/>
  <c r="AB170" i="9"/>
  <c r="AB171" i="9"/>
  <c r="AB16" i="9"/>
  <c r="H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6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6" i="9"/>
  <c r="F7" i="9" l="1"/>
  <c r="F5" i="9"/>
  <c r="D8" i="9"/>
  <c r="D10" i="9"/>
  <c r="C21" i="10" s="1"/>
  <c r="F6" i="9"/>
  <c r="D7" i="9"/>
  <c r="D9" i="9"/>
  <c r="F8" i="9"/>
  <c r="D5" i="9"/>
  <c r="C27" i="10" s="1"/>
  <c r="C31" i="10" s="1"/>
  <c r="M37" i="10"/>
  <c r="I12" i="10" s="1"/>
  <c r="N7" i="10" s="1"/>
  <c r="D22" i="10"/>
  <c r="D21" i="10"/>
  <c r="D20" i="10"/>
  <c r="D19" i="10"/>
  <c r="D63" i="10"/>
  <c r="F63" i="10" s="1"/>
  <c r="D62" i="10"/>
  <c r="F62" i="10" s="1"/>
  <c r="D61" i="10"/>
  <c r="F61" i="10" s="1"/>
  <c r="D53" i="10"/>
  <c r="F53" i="10" s="1"/>
  <c r="D52" i="10"/>
  <c r="F52" i="10" s="1"/>
  <c r="D36" i="10"/>
  <c r="F36" i="10" s="1"/>
  <c r="D51" i="10"/>
  <c r="F51" i="10" s="1"/>
  <c r="D48" i="10"/>
  <c r="F48" i="10" s="1"/>
  <c r="D47" i="10"/>
  <c r="F47" i="10" s="1"/>
  <c r="D46" i="10"/>
  <c r="F46" i="10" s="1"/>
  <c r="D37" i="10"/>
  <c r="F37" i="10" s="1"/>
  <c r="D38" i="10"/>
  <c r="F38" i="10" s="1"/>
  <c r="F22" i="10" l="1"/>
  <c r="G22" i="10" s="1"/>
  <c r="F27" i="10"/>
  <c r="F20" i="10"/>
  <c r="G20" i="10" s="1"/>
  <c r="F19" i="10"/>
  <c r="E19" i="10" s="1"/>
  <c r="F21" i="10"/>
  <c r="G21" i="10" s="1"/>
  <c r="D18" i="10"/>
  <c r="D43" i="10"/>
  <c r="F43" i="10" s="1"/>
  <c r="D42" i="10"/>
  <c r="F42" i="10" s="1"/>
  <c r="D41" i="10"/>
  <c r="F41" i="10" s="1"/>
  <c r="H19" i="10" l="1"/>
  <c r="G19" i="10"/>
  <c r="E20" i="10"/>
  <c r="E22" i="10"/>
  <c r="H20" i="10"/>
  <c r="H22" i="10"/>
  <c r="G27" i="10"/>
  <c r="L8" i="10" s="1"/>
  <c r="H27" i="10"/>
  <c r="E27" i="10"/>
  <c r="L7" i="10" s="1"/>
  <c r="O7" i="10" s="1"/>
  <c r="D6" i="9"/>
  <c r="C18" i="10" s="1"/>
  <c r="C20" i="10"/>
  <c r="I20" i="10" s="1"/>
  <c r="F10" i="9"/>
  <c r="F9" i="9"/>
  <c r="C19" i="10"/>
  <c r="C22" i="10"/>
  <c r="E21" i="10"/>
  <c r="H21" i="10"/>
  <c r="I21" i="10" s="1"/>
  <c r="F18" i="10"/>
  <c r="J42" i="4"/>
  <c r="K42" i="4" s="1"/>
  <c r="L42" i="4" s="1"/>
  <c r="M42" i="4" s="1"/>
  <c r="I42" i="4"/>
  <c r="J41" i="4"/>
  <c r="K41" i="4"/>
  <c r="L41" i="4" s="1"/>
  <c r="M41" i="4" s="1"/>
  <c r="I41" i="4"/>
  <c r="H51" i="4"/>
  <c r="G16" i="4"/>
  <c r="F16" i="4"/>
  <c r="E16" i="4"/>
  <c r="E34" i="4"/>
  <c r="K49" i="7"/>
  <c r="L49" i="7"/>
  <c r="M49" i="7"/>
  <c r="N49" i="7"/>
  <c r="J49" i="7"/>
  <c r="K95" i="7"/>
  <c r="J9" i="2" s="1"/>
  <c r="L95" i="7"/>
  <c r="M95" i="7"/>
  <c r="N95" i="7"/>
  <c r="J95" i="7"/>
  <c r="I9" i="2" s="1"/>
  <c r="H95" i="7"/>
  <c r="H9" i="2" s="1"/>
  <c r="I8" i="3"/>
  <c r="H8" i="3"/>
  <c r="J7" i="3"/>
  <c r="K7" i="3"/>
  <c r="L7" i="3"/>
  <c r="M7" i="3"/>
  <c r="I7" i="3"/>
  <c r="H7" i="3"/>
  <c r="H14" i="3"/>
  <c r="D14" i="3"/>
  <c r="E14" i="3"/>
  <c r="F14" i="3"/>
  <c r="G14" i="3"/>
  <c r="C14" i="3"/>
  <c r="I64" i="4"/>
  <c r="J64" i="4"/>
  <c r="K64" i="4"/>
  <c r="L64" i="4"/>
  <c r="M64" i="4"/>
  <c r="H64" i="4"/>
  <c r="I60" i="4"/>
  <c r="J60" i="4"/>
  <c r="K60" i="4"/>
  <c r="L60" i="4"/>
  <c r="M60" i="4"/>
  <c r="H60" i="4"/>
  <c r="I58" i="4"/>
  <c r="J58" i="4"/>
  <c r="K58" i="4"/>
  <c r="L58" i="4"/>
  <c r="M58" i="4"/>
  <c r="H58" i="4"/>
  <c r="I56" i="4"/>
  <c r="J56" i="4"/>
  <c r="K56" i="4"/>
  <c r="L56" i="4"/>
  <c r="M56" i="4"/>
  <c r="H56" i="4"/>
  <c r="H65" i="4"/>
  <c r="H61" i="4"/>
  <c r="H57" i="4"/>
  <c r="I24" i="4"/>
  <c r="J24" i="4"/>
  <c r="K24" i="4"/>
  <c r="L24" i="4"/>
  <c r="M24" i="4"/>
  <c r="H24" i="4"/>
  <c r="H5" i="1"/>
  <c r="H32" i="4"/>
  <c r="I23" i="4"/>
  <c r="J23" i="4"/>
  <c r="K23" i="4"/>
  <c r="L23" i="4"/>
  <c r="M23" i="4"/>
  <c r="H23" i="4"/>
  <c r="I22" i="4"/>
  <c r="J22" i="4"/>
  <c r="K22" i="4"/>
  <c r="L22" i="4"/>
  <c r="M22" i="4"/>
  <c r="H22" i="4"/>
  <c r="H27" i="2"/>
  <c r="I22" i="2"/>
  <c r="J22" i="2"/>
  <c r="K22" i="2"/>
  <c r="L22" i="2"/>
  <c r="M22" i="2"/>
  <c r="H22" i="2"/>
  <c r="I21" i="2"/>
  <c r="J21" i="2"/>
  <c r="K21" i="2"/>
  <c r="L21" i="2"/>
  <c r="M21" i="2"/>
  <c r="H21" i="2"/>
  <c r="K9" i="2"/>
  <c r="L9" i="2"/>
  <c r="M9" i="2"/>
  <c r="I9" i="1"/>
  <c r="J9" i="1"/>
  <c r="K9" i="1"/>
  <c r="J6" i="1"/>
  <c r="K6" i="1"/>
  <c r="L6" i="1"/>
  <c r="M6" i="1"/>
  <c r="I6" i="1"/>
  <c r="H9" i="1" s="1"/>
  <c r="H8" i="1"/>
  <c r="I5" i="1" s="1"/>
  <c r="I8" i="1" s="1"/>
  <c r="J5" i="1" s="1"/>
  <c r="J8" i="1" s="1"/>
  <c r="K5" i="1" s="1"/>
  <c r="K8" i="1" s="1"/>
  <c r="L5" i="1" s="1"/>
  <c r="L8" i="1" s="1"/>
  <c r="M5" i="1" s="1"/>
  <c r="M8" i="1" s="1"/>
  <c r="M10" i="1" s="1"/>
  <c r="M31" i="4" s="1"/>
  <c r="H15" i="1"/>
  <c r="C9" i="3"/>
  <c r="D9" i="3"/>
  <c r="E9" i="3"/>
  <c r="F9" i="3"/>
  <c r="G9" i="3"/>
  <c r="B9" i="3"/>
  <c r="C10" i="3"/>
  <c r="D6" i="3" s="1"/>
  <c r="D10" i="3"/>
  <c r="E6" i="3" s="1"/>
  <c r="E10" i="3"/>
  <c r="F6" i="3" s="1"/>
  <c r="F10" i="3"/>
  <c r="F8" i="3" s="1"/>
  <c r="G10" i="3"/>
  <c r="G8" i="3" s="1"/>
  <c r="B10" i="3"/>
  <c r="B8" i="3" s="1"/>
  <c r="I19" i="10" l="1"/>
  <c r="I22" i="10"/>
  <c r="H18" i="10"/>
  <c r="I18" i="10" s="1"/>
  <c r="G18" i="10"/>
  <c r="E18" i="10"/>
  <c r="G13" i="3"/>
  <c r="G7" i="3"/>
  <c r="G15" i="3"/>
  <c r="F13" i="3"/>
  <c r="F15" i="3"/>
  <c r="F7" i="3"/>
  <c r="B15" i="3"/>
  <c r="B13" i="3"/>
  <c r="C6" i="3"/>
  <c r="G6" i="3"/>
  <c r="E8" i="3"/>
  <c r="D8" i="3"/>
  <c r="H6" i="3"/>
  <c r="C8" i="3"/>
  <c r="K10" i="1"/>
  <c r="K31" i="4" s="1"/>
  <c r="L13" i="1"/>
  <c r="J10" i="1"/>
  <c r="J31" i="4" s="1"/>
  <c r="K13" i="1"/>
  <c r="J13" i="1"/>
  <c r="H10" i="1"/>
  <c r="H31" i="4" s="1"/>
  <c r="I13" i="1"/>
  <c r="I10" i="1"/>
  <c r="I31" i="4" s="1"/>
  <c r="H13" i="1"/>
  <c r="L10" i="1"/>
  <c r="L31" i="4" s="1"/>
  <c r="M13" i="1"/>
  <c r="I24" i="10" l="1"/>
  <c r="J24" i="10" s="1"/>
  <c r="C30" i="10" s="1"/>
  <c r="D12" i="10" s="1"/>
  <c r="D14" i="10" s="1"/>
  <c r="N8" i="10" s="1"/>
  <c r="O8" i="10" s="1"/>
  <c r="O9" i="10" s="1"/>
  <c r="C6" i="11" s="1"/>
  <c r="D44" i="11" s="1"/>
  <c r="D13" i="3"/>
  <c r="D15" i="3"/>
  <c r="D7" i="3"/>
  <c r="E13" i="3"/>
  <c r="E15" i="3"/>
  <c r="E7" i="3"/>
  <c r="C13" i="3"/>
  <c r="C15" i="3"/>
  <c r="C7" i="3"/>
  <c r="H13" i="3"/>
  <c r="H15" i="3"/>
  <c r="J23" i="2"/>
  <c r="J10" i="2"/>
  <c r="K38" i="7"/>
  <c r="M38" i="7"/>
  <c r="L23" i="2"/>
  <c r="L10" i="2"/>
  <c r="N38" i="7"/>
  <c r="M23" i="2"/>
  <c r="M10" i="2"/>
  <c r="K23" i="2"/>
  <c r="K10" i="2"/>
  <c r="L38" i="7"/>
  <c r="H23" i="2"/>
  <c r="H10" i="2"/>
  <c r="H38" i="7"/>
  <c r="I38" i="7" s="1"/>
  <c r="I23" i="2"/>
  <c r="I10" i="2"/>
  <c r="J38" i="7"/>
  <c r="C19" i="11" l="1"/>
  <c r="C18" i="11"/>
  <c r="C21" i="11" s="1"/>
  <c r="D45" i="11" s="1"/>
  <c r="D47" i="11" s="1"/>
  <c r="D51" i="11" s="1"/>
  <c r="D53" i="11" s="1"/>
  <c r="J39" i="11" s="1"/>
  <c r="D25" i="11"/>
  <c r="E28" i="11" s="1"/>
  <c r="H9" i="3"/>
  <c r="H10" i="3" s="1"/>
  <c r="H15" i="2"/>
  <c r="H17" i="2" s="1"/>
  <c r="I9" i="3"/>
  <c r="D28" i="11" l="1"/>
  <c r="D29" i="11" s="1"/>
  <c r="D30" i="11" s="1"/>
  <c r="D32" i="11" s="1"/>
  <c r="D36" i="11" s="1"/>
  <c r="D38" i="11" s="1"/>
  <c r="J25" i="11" s="1"/>
  <c r="I6" i="3"/>
  <c r="I15" i="2" s="1"/>
  <c r="I17" i="2" s="1"/>
  <c r="H14" i="4"/>
  <c r="J31" i="7"/>
  <c r="I8" i="2"/>
  <c r="I10" i="3"/>
  <c r="H8" i="2"/>
  <c r="H31" i="7"/>
  <c r="I31" i="7" s="1"/>
  <c r="I14" i="4" l="1"/>
  <c r="J6" i="3"/>
  <c r="J15" i="2" l="1"/>
  <c r="J17" i="2" s="1"/>
  <c r="J8" i="3"/>
  <c r="J9" i="3" l="1"/>
  <c r="J8" i="2" l="1"/>
  <c r="K31" i="7"/>
  <c r="J10" i="3"/>
  <c r="J14" i="4" l="1"/>
  <c r="K6" i="3"/>
  <c r="K15" i="2" l="1"/>
  <c r="K17" i="2" s="1"/>
  <c r="K8" i="3"/>
  <c r="K9" i="3" s="1"/>
  <c r="K10" i="3" l="1"/>
  <c r="K8" i="2"/>
  <c r="L31" i="7"/>
  <c r="K14" i="4" l="1"/>
  <c r="L6" i="3"/>
  <c r="L15" i="2" l="1"/>
  <c r="L17" i="2" s="1"/>
  <c r="L8" i="3"/>
  <c r="L9" i="3" l="1"/>
  <c r="L10" i="3" s="1"/>
  <c r="L14" i="4" l="1"/>
  <c r="M6" i="3"/>
  <c r="M31" i="7"/>
  <c r="L8" i="2"/>
  <c r="M15" i="2" l="1"/>
  <c r="M17" i="2" s="1"/>
  <c r="M8" i="3"/>
  <c r="M9" i="3" s="1"/>
  <c r="C13" i="7"/>
  <c r="D13" i="7"/>
  <c r="E13" i="7"/>
  <c r="F13" i="7"/>
  <c r="G13" i="7"/>
  <c r="B13" i="7"/>
  <c r="C30" i="7"/>
  <c r="D30" i="7"/>
  <c r="E30" i="7"/>
  <c r="F30" i="7"/>
  <c r="F31" i="7" s="1"/>
  <c r="G30" i="7"/>
  <c r="B30" i="7"/>
  <c r="D62" i="12"/>
  <c r="E62" i="12"/>
  <c r="F62" i="12"/>
  <c r="G62" i="12"/>
  <c r="H62" i="12"/>
  <c r="D41" i="12"/>
  <c r="E41" i="12"/>
  <c r="F41" i="12"/>
  <c r="G41" i="12"/>
  <c r="H41" i="12"/>
  <c r="D39" i="12"/>
  <c r="E39" i="12"/>
  <c r="F39" i="12"/>
  <c r="G39" i="12"/>
  <c r="H39" i="12"/>
  <c r="C39" i="12"/>
  <c r="G31" i="7"/>
  <c r="D83" i="12"/>
  <c r="E83" i="12"/>
  <c r="F83" i="12"/>
  <c r="G83" i="12"/>
  <c r="C83" i="12"/>
  <c r="D81" i="12"/>
  <c r="E81" i="12"/>
  <c r="F81" i="12"/>
  <c r="G81" i="12"/>
  <c r="C81" i="12"/>
  <c r="H78" i="12"/>
  <c r="H77" i="12"/>
  <c r="D82" i="12"/>
  <c r="E82" i="12"/>
  <c r="F82" i="12"/>
  <c r="G82" i="12"/>
  <c r="C82" i="12"/>
  <c r="H82" i="12" s="1"/>
  <c r="C29" i="7"/>
  <c r="C31" i="7" s="1"/>
  <c r="D29" i="7"/>
  <c r="D31" i="7" s="1"/>
  <c r="E29" i="7"/>
  <c r="E31" i="7" s="1"/>
  <c r="F29" i="7"/>
  <c r="G29" i="7"/>
  <c r="B29" i="7"/>
  <c r="B31" i="7" s="1"/>
  <c r="M10" i="3" l="1"/>
  <c r="M14" i="4" s="1"/>
  <c r="N31" i="7"/>
  <c r="M8" i="2"/>
  <c r="C44" i="4"/>
  <c r="D44" i="4"/>
  <c r="E44" i="4"/>
  <c r="F44" i="4"/>
  <c r="G44" i="4"/>
  <c r="H44" i="4" s="1"/>
  <c r="I44" i="4" s="1"/>
  <c r="J44" i="4" s="1"/>
  <c r="K44" i="4" s="1"/>
  <c r="L44" i="4" s="1"/>
  <c r="M44" i="4" s="1"/>
  <c r="C43" i="4"/>
  <c r="D43" i="4"/>
  <c r="E43" i="4"/>
  <c r="F43" i="4"/>
  <c r="G43" i="4"/>
  <c r="H43" i="4" s="1"/>
  <c r="I43" i="4" s="1"/>
  <c r="J43" i="4" s="1"/>
  <c r="K43" i="4" s="1"/>
  <c r="L43" i="4" s="1"/>
  <c r="M43" i="4" s="1"/>
  <c r="C42" i="4"/>
  <c r="D42" i="4"/>
  <c r="E42" i="4"/>
  <c r="F42" i="4"/>
  <c r="G42" i="4"/>
  <c r="C41" i="4"/>
  <c r="D41" i="4"/>
  <c r="E41" i="4"/>
  <c r="F41" i="4"/>
  <c r="G41" i="4"/>
  <c r="C40" i="4"/>
  <c r="D40" i="4"/>
  <c r="E40" i="4"/>
  <c r="F40" i="4"/>
  <c r="G40" i="4"/>
  <c r="H40" i="4" s="1"/>
  <c r="B44" i="4"/>
  <c r="B43" i="4"/>
  <c r="B42" i="4"/>
  <c r="B41" i="4"/>
  <c r="B40" i="4"/>
  <c r="C36" i="4"/>
  <c r="D36" i="4"/>
  <c r="E36" i="4"/>
  <c r="F36" i="4"/>
  <c r="G36" i="4"/>
  <c r="H36" i="4" s="1"/>
  <c r="I36" i="4" s="1"/>
  <c r="J36" i="4" s="1"/>
  <c r="K36" i="4" s="1"/>
  <c r="L36" i="4" s="1"/>
  <c r="M36" i="4" s="1"/>
  <c r="C35" i="4"/>
  <c r="D35" i="4"/>
  <c r="E35" i="4"/>
  <c r="F35" i="4"/>
  <c r="G35" i="4"/>
  <c r="H35" i="4" s="1"/>
  <c r="I35" i="4" s="1"/>
  <c r="J35" i="4" s="1"/>
  <c r="K35" i="4" s="1"/>
  <c r="L35" i="4" s="1"/>
  <c r="M35" i="4" s="1"/>
  <c r="C34" i="4"/>
  <c r="D34" i="4"/>
  <c r="F34" i="4"/>
  <c r="G34" i="4"/>
  <c r="H34" i="4" s="1"/>
  <c r="I34" i="4" s="1"/>
  <c r="J34" i="4" s="1"/>
  <c r="K34" i="4" s="1"/>
  <c r="L34" i="4" s="1"/>
  <c r="M34" i="4" s="1"/>
  <c r="C33" i="4"/>
  <c r="D33" i="4"/>
  <c r="E33" i="4"/>
  <c r="F33" i="4"/>
  <c r="G33" i="4"/>
  <c r="H33" i="4" s="1"/>
  <c r="I33" i="4" s="1"/>
  <c r="J33" i="4" s="1"/>
  <c r="K33" i="4" s="1"/>
  <c r="L33" i="4" s="1"/>
  <c r="M33" i="4" s="1"/>
  <c r="C32" i="4"/>
  <c r="D32" i="4"/>
  <c r="E32" i="4"/>
  <c r="F32" i="4"/>
  <c r="G32" i="4"/>
  <c r="I32" i="4" s="1"/>
  <c r="J32" i="4" s="1"/>
  <c r="K32" i="4" s="1"/>
  <c r="L32" i="4" s="1"/>
  <c r="M32" i="4" s="1"/>
  <c r="C31" i="4"/>
  <c r="D31" i="4"/>
  <c r="E31" i="4"/>
  <c r="F31" i="4"/>
  <c r="G31" i="4"/>
  <c r="B36" i="4"/>
  <c r="B35" i="4"/>
  <c r="B34" i="4"/>
  <c r="B33" i="4"/>
  <c r="B32" i="4"/>
  <c r="B31" i="4"/>
  <c r="C27" i="4"/>
  <c r="D27" i="4"/>
  <c r="E27" i="4"/>
  <c r="F27" i="4"/>
  <c r="G27" i="4"/>
  <c r="H27" i="4" s="1"/>
  <c r="I27" i="4" s="1"/>
  <c r="J27" i="4" s="1"/>
  <c r="K27" i="4" s="1"/>
  <c r="L27" i="4" s="1"/>
  <c r="M27" i="4" s="1"/>
  <c r="C26" i="4"/>
  <c r="D26" i="4"/>
  <c r="E26" i="4"/>
  <c r="F26" i="4"/>
  <c r="G26" i="4"/>
  <c r="H26" i="4" s="1"/>
  <c r="I26" i="4" s="1"/>
  <c r="J26" i="4" s="1"/>
  <c r="K26" i="4" s="1"/>
  <c r="L26" i="4" s="1"/>
  <c r="M26" i="4" s="1"/>
  <c r="C25" i="4"/>
  <c r="D25" i="4"/>
  <c r="E25" i="4"/>
  <c r="F25" i="4"/>
  <c r="G25" i="4"/>
  <c r="H25" i="4" s="1"/>
  <c r="I25" i="4" s="1"/>
  <c r="J25" i="4" s="1"/>
  <c r="K25" i="4" s="1"/>
  <c r="L25" i="4" s="1"/>
  <c r="M25" i="4" s="1"/>
  <c r="C24" i="4"/>
  <c r="D24" i="4"/>
  <c r="E24" i="4"/>
  <c r="F24" i="4"/>
  <c r="G24" i="4"/>
  <c r="C23" i="4"/>
  <c r="D23" i="4"/>
  <c r="E23" i="4"/>
  <c r="F23" i="4"/>
  <c r="G23" i="4"/>
  <c r="C22" i="4"/>
  <c r="D22" i="4"/>
  <c r="E22" i="4"/>
  <c r="F22" i="4"/>
  <c r="G22" i="4"/>
  <c r="C21" i="4"/>
  <c r="C64" i="4" s="1"/>
  <c r="D21" i="4"/>
  <c r="D64" i="4" s="1"/>
  <c r="E21" i="4"/>
  <c r="E64" i="4" s="1"/>
  <c r="F21" i="4"/>
  <c r="G21" i="4"/>
  <c r="G64" i="4" s="1"/>
  <c r="B27" i="4"/>
  <c r="B26" i="4"/>
  <c r="B25" i="4"/>
  <c r="B24" i="4"/>
  <c r="B23" i="4"/>
  <c r="B22" i="4"/>
  <c r="B21" i="4"/>
  <c r="B64" i="4" s="1"/>
  <c r="C17" i="4"/>
  <c r="D17" i="4"/>
  <c r="E17" i="4"/>
  <c r="F17" i="4"/>
  <c r="G17" i="4"/>
  <c r="C16" i="4"/>
  <c r="D16" i="4"/>
  <c r="H16" i="4"/>
  <c r="I16" i="4" s="1"/>
  <c r="J16" i="4" s="1"/>
  <c r="K16" i="4" s="1"/>
  <c r="L16" i="4" s="1"/>
  <c r="M16" i="4" s="1"/>
  <c r="C15" i="4"/>
  <c r="D15" i="4"/>
  <c r="E15" i="4"/>
  <c r="F15" i="4"/>
  <c r="G15" i="4"/>
  <c r="H15" i="4" s="1"/>
  <c r="I15" i="4" s="1"/>
  <c r="J15" i="4" s="1"/>
  <c r="K15" i="4" s="1"/>
  <c r="L15" i="4" s="1"/>
  <c r="M15" i="4" s="1"/>
  <c r="C14" i="4"/>
  <c r="D14" i="4"/>
  <c r="E14" i="4"/>
  <c r="F14" i="4"/>
  <c r="G14" i="4"/>
  <c r="C13" i="4"/>
  <c r="D13" i="4"/>
  <c r="E13" i="4"/>
  <c r="F13" i="4"/>
  <c r="G13" i="4"/>
  <c r="H13" i="4" s="1"/>
  <c r="I13" i="4" s="1"/>
  <c r="J13" i="4" s="1"/>
  <c r="K13" i="4" s="1"/>
  <c r="L13" i="4" s="1"/>
  <c r="M13" i="4" s="1"/>
  <c r="B17" i="4"/>
  <c r="B15" i="4"/>
  <c r="B14" i="4"/>
  <c r="B13" i="4"/>
  <c r="I40" i="4" l="1"/>
  <c r="F29" i="4"/>
  <c r="F37" i="4" s="1"/>
  <c r="F64" i="4"/>
  <c r="E29" i="4"/>
  <c r="E37" i="4" s="1"/>
  <c r="D45" i="4"/>
  <c r="D47" i="4" s="1"/>
  <c r="C45" i="4"/>
  <c r="C47" i="4" s="1"/>
  <c r="D29" i="4"/>
  <c r="D37" i="4" s="1"/>
  <c r="C29" i="4"/>
  <c r="C37" i="4" s="1"/>
  <c r="B29" i="4"/>
  <c r="B37" i="4" s="1"/>
  <c r="G45" i="4"/>
  <c r="G47" i="4" s="1"/>
  <c r="E45" i="4"/>
  <c r="E47" i="4" s="1"/>
  <c r="G29" i="4"/>
  <c r="G37" i="4" s="1"/>
  <c r="F45" i="4"/>
  <c r="F47" i="4" s="1"/>
  <c r="B45" i="4"/>
  <c r="B47" i="4" s="1"/>
  <c r="G49" i="4" l="1"/>
  <c r="J40" i="4"/>
  <c r="F49" i="4"/>
  <c r="D49" i="4"/>
  <c r="C49" i="4"/>
  <c r="B49" i="4"/>
  <c r="E49" i="4"/>
  <c r="K40" i="4" l="1"/>
  <c r="C11" i="4"/>
  <c r="C60" i="4" s="1"/>
  <c r="D11" i="4"/>
  <c r="D60" i="4" s="1"/>
  <c r="E11" i="4"/>
  <c r="E60" i="4" s="1"/>
  <c r="F11" i="4"/>
  <c r="F60" i="4" s="1"/>
  <c r="G11" i="4"/>
  <c r="G60" i="4" s="1"/>
  <c r="C10" i="4"/>
  <c r="C58" i="4" s="1"/>
  <c r="D10" i="4"/>
  <c r="D58" i="4" s="1"/>
  <c r="E10" i="4"/>
  <c r="E58" i="4" s="1"/>
  <c r="F10" i="4"/>
  <c r="F58" i="4" s="1"/>
  <c r="G10" i="4"/>
  <c r="G58" i="4" s="1"/>
  <c r="C9" i="4"/>
  <c r="C56" i="4" s="1"/>
  <c r="D9" i="4"/>
  <c r="D56" i="4" s="1"/>
  <c r="E9" i="4"/>
  <c r="E56" i="4" s="1"/>
  <c r="F9" i="4"/>
  <c r="F56" i="4" s="1"/>
  <c r="G9" i="4"/>
  <c r="G56" i="4" s="1"/>
  <c r="B11" i="4"/>
  <c r="B60" i="4" s="1"/>
  <c r="B10" i="4"/>
  <c r="B58" i="4" s="1"/>
  <c r="B9" i="4"/>
  <c r="B56" i="4" s="1"/>
  <c r="C8" i="4"/>
  <c r="D8" i="4"/>
  <c r="E8" i="4"/>
  <c r="F8" i="4"/>
  <c r="G8" i="4"/>
  <c r="B8" i="4"/>
  <c r="C7" i="4"/>
  <c r="D7" i="4"/>
  <c r="E7" i="4"/>
  <c r="F7" i="4"/>
  <c r="G7" i="4"/>
  <c r="B7" i="4"/>
  <c r="E12" i="4" l="1"/>
  <c r="E18" i="4" s="1"/>
  <c r="E51" i="4" s="1"/>
  <c r="L40" i="4"/>
  <c r="D12" i="4"/>
  <c r="D18" i="4" s="1"/>
  <c r="D51" i="4" s="1"/>
  <c r="C67" i="4"/>
  <c r="G67" i="4"/>
  <c r="F67" i="4"/>
  <c r="C12" i="4"/>
  <c r="C18" i="4" s="1"/>
  <c r="C51" i="4" s="1"/>
  <c r="E67" i="4"/>
  <c r="B67" i="4"/>
  <c r="D67" i="4"/>
  <c r="B12" i="4"/>
  <c r="G12" i="4"/>
  <c r="G18" i="4" s="1"/>
  <c r="G51" i="4" s="1"/>
  <c r="F12" i="4"/>
  <c r="F18" i="4" s="1"/>
  <c r="F51" i="4" s="1"/>
  <c r="D68" i="4" l="1"/>
  <c r="M40" i="4"/>
  <c r="G68" i="4"/>
  <c r="E68" i="4"/>
  <c r="C68" i="4"/>
  <c r="F68" i="4"/>
  <c r="C9" i="13"/>
  <c r="C8" i="13"/>
  <c r="B9" i="13"/>
  <c r="B8" i="13"/>
  <c r="C95" i="7"/>
  <c r="D95" i="7"/>
  <c r="E95" i="7"/>
  <c r="F95" i="7"/>
  <c r="G95" i="7"/>
  <c r="B95" i="7"/>
  <c r="C61" i="7" l="1"/>
  <c r="D61" i="7"/>
  <c r="E61" i="7"/>
  <c r="F61" i="7"/>
  <c r="G61" i="7"/>
  <c r="B61" i="7"/>
  <c r="D49" i="7"/>
  <c r="E49" i="7"/>
  <c r="F49" i="7"/>
  <c r="G49" i="7"/>
  <c r="C47" i="7"/>
  <c r="D47" i="7"/>
  <c r="E47" i="7"/>
  <c r="F47" i="7"/>
  <c r="G47" i="7"/>
  <c r="B47" i="7"/>
  <c r="C42" i="7"/>
  <c r="D42" i="7"/>
  <c r="E42" i="7"/>
  <c r="F42" i="7"/>
  <c r="G42" i="7"/>
  <c r="C40" i="7"/>
  <c r="D40" i="7"/>
  <c r="E40" i="7"/>
  <c r="F40" i="7"/>
  <c r="G40" i="7"/>
  <c r="C38" i="7"/>
  <c r="D38" i="7"/>
  <c r="E38" i="7"/>
  <c r="F38" i="7"/>
  <c r="G38" i="7"/>
  <c r="C36" i="7"/>
  <c r="D36" i="7"/>
  <c r="E36" i="7"/>
  <c r="F36" i="7"/>
  <c r="G36" i="7"/>
  <c r="B40" i="7"/>
  <c r="B36" i="7"/>
  <c r="F48" i="7" l="1"/>
  <c r="G48" i="7"/>
  <c r="E48" i="7"/>
  <c r="D48" i="7"/>
  <c r="C23" i="7" l="1"/>
  <c r="D23" i="7"/>
  <c r="E23" i="7"/>
  <c r="F23" i="7"/>
  <c r="G23" i="7"/>
  <c r="B23" i="7"/>
  <c r="C12" i="7"/>
  <c r="C14" i="7" s="1"/>
  <c r="D12" i="7"/>
  <c r="D14" i="7" s="1"/>
  <c r="E12" i="7"/>
  <c r="E14" i="7" s="1"/>
  <c r="F12" i="7"/>
  <c r="F14" i="7" s="1"/>
  <c r="G12" i="7"/>
  <c r="G14" i="7" s="1"/>
  <c r="B12" i="7"/>
  <c r="B14" i="7" s="1"/>
  <c r="E65" i="4" l="1"/>
  <c r="E59" i="4"/>
  <c r="G65" i="4"/>
  <c r="G59" i="4"/>
  <c r="F65" i="4"/>
  <c r="F59" i="4"/>
  <c r="D65" i="4"/>
  <c r="D59" i="4"/>
  <c r="C65" i="4"/>
  <c r="C59" i="4"/>
  <c r="C10" i="7" l="1"/>
  <c r="D10" i="7"/>
  <c r="E10" i="7"/>
  <c r="F10" i="7"/>
  <c r="G10" i="7"/>
  <c r="B10" i="7"/>
  <c r="J14" i="6" l="1"/>
  <c r="J10" i="6"/>
  <c r="I14" i="6"/>
  <c r="I10" i="6"/>
  <c r="J16" i="6"/>
  <c r="J12" i="6"/>
  <c r="J8" i="6"/>
  <c r="J6" i="6"/>
  <c r="I6" i="6"/>
  <c r="D16" i="6"/>
  <c r="E16" i="6"/>
  <c r="F16" i="6"/>
  <c r="G16" i="6"/>
  <c r="C16" i="6"/>
  <c r="D14" i="6"/>
  <c r="E14" i="6"/>
  <c r="F14" i="6"/>
  <c r="G14" i="6"/>
  <c r="C14" i="6"/>
  <c r="D12" i="6"/>
  <c r="E12" i="6"/>
  <c r="F12" i="6"/>
  <c r="G12" i="6"/>
  <c r="C12" i="6"/>
  <c r="D10" i="6"/>
  <c r="E10" i="6"/>
  <c r="F10" i="6"/>
  <c r="G10" i="6"/>
  <c r="L10" i="6" s="1"/>
  <c r="C10" i="6"/>
  <c r="E8" i="6"/>
  <c r="F8" i="6"/>
  <c r="G8" i="6"/>
  <c r="D8" i="6"/>
  <c r="C8" i="6"/>
  <c r="G6" i="6"/>
  <c r="F6" i="6"/>
  <c r="E6" i="6"/>
  <c r="D6" i="6"/>
  <c r="C6" i="6"/>
  <c r="I9" i="12"/>
  <c r="H9" i="12"/>
  <c r="G9" i="12"/>
  <c r="D9" i="12"/>
  <c r="E9" i="12"/>
  <c r="F9" i="12"/>
  <c r="C9" i="12"/>
  <c r="L6" i="6" l="1"/>
  <c r="F18" i="6"/>
  <c r="M10" i="6"/>
  <c r="O10" i="6" s="1"/>
  <c r="D18" i="6"/>
  <c r="H16" i="6"/>
  <c r="O16" i="6" s="1"/>
  <c r="I18" i="6"/>
  <c r="E18" i="6"/>
  <c r="C18" i="6"/>
  <c r="H12" i="6"/>
  <c r="O12" i="6" s="1"/>
  <c r="L14" i="6"/>
  <c r="M14" i="6" s="1"/>
  <c r="O14" i="6" s="1"/>
  <c r="M6" i="6"/>
  <c r="G18" i="6"/>
  <c r="G25" i="6" s="1"/>
  <c r="J18" i="6"/>
  <c r="J25" i="6" s="1"/>
  <c r="H8" i="6"/>
  <c r="O8" i="6" s="1"/>
  <c r="L18" i="6" l="1"/>
  <c r="P14" i="6"/>
  <c r="Q14" i="6" s="1"/>
  <c r="R14" i="6" s="1"/>
  <c r="S14" i="6" s="1"/>
  <c r="T14" i="6" s="1"/>
  <c r="P10" i="6"/>
  <c r="Q10" i="6" s="1"/>
  <c r="R10" i="6" s="1"/>
  <c r="S10" i="6" s="1"/>
  <c r="T10" i="6" s="1"/>
  <c r="M25" i="6"/>
  <c r="H8" i="7" s="1"/>
  <c r="M18" i="6"/>
  <c r="O6" i="6"/>
  <c r="G78" i="12"/>
  <c r="F20" i="7" s="1"/>
  <c r="F19" i="7" s="1"/>
  <c r="F21" i="7" s="1"/>
  <c r="F78" i="12"/>
  <c r="E20" i="7" s="1"/>
  <c r="E19" i="7" s="1"/>
  <c r="E21" i="7" s="1"/>
  <c r="E78" i="12"/>
  <c r="D20" i="7" s="1"/>
  <c r="D19" i="7" s="1"/>
  <c r="D21" i="7" s="1"/>
  <c r="D78" i="12"/>
  <c r="C20" i="7" s="1"/>
  <c r="C19" i="7" s="1"/>
  <c r="C21" i="7" s="1"/>
  <c r="C78" i="12"/>
  <c r="B20" i="7" s="1"/>
  <c r="B19" i="7" s="1"/>
  <c r="B21" i="7" s="1"/>
  <c r="D66" i="12"/>
  <c r="C49" i="7" s="1"/>
  <c r="C48" i="7" s="1"/>
  <c r="C66" i="12"/>
  <c r="B49" i="7" s="1"/>
  <c r="B48" i="7" s="1"/>
  <c r="H61" i="12"/>
  <c r="G25" i="7" s="1"/>
  <c r="G24" i="7" s="1"/>
  <c r="G61" i="12"/>
  <c r="F25" i="7" s="1"/>
  <c r="F24" i="7" s="1"/>
  <c r="F61" i="12"/>
  <c r="E25" i="7" s="1"/>
  <c r="E24" i="7" s="1"/>
  <c r="E61" i="12"/>
  <c r="D25" i="7" s="1"/>
  <c r="D24" i="7" s="1"/>
  <c r="D61" i="12"/>
  <c r="C25" i="7" s="1"/>
  <c r="C24" i="7" s="1"/>
  <c r="C61" i="12"/>
  <c r="B25" i="7" s="1"/>
  <c r="B24" i="7" s="1"/>
  <c r="H53" i="12"/>
  <c r="G8" i="7" s="1"/>
  <c r="G17" i="7" s="1"/>
  <c r="G53" i="12"/>
  <c r="F53" i="12"/>
  <c r="E8" i="7" s="1"/>
  <c r="E17" i="7" s="1"/>
  <c r="E53" i="12"/>
  <c r="D8" i="7" s="1"/>
  <c r="D17" i="7" s="1"/>
  <c r="D53" i="12"/>
  <c r="C8" i="7" s="1"/>
  <c r="C17" i="7" s="1"/>
  <c r="H26" i="12"/>
  <c r="H36" i="12" s="1"/>
  <c r="F26" i="12"/>
  <c r="F36" i="12" s="1"/>
  <c r="G26" i="12"/>
  <c r="G36" i="12" s="1"/>
  <c r="E26" i="12"/>
  <c r="E36" i="12" s="1"/>
  <c r="C100" i="12"/>
  <c r="B16" i="4" s="1"/>
  <c r="B18" i="4" s="1"/>
  <c r="B51" i="4" s="1"/>
  <c r="D26" i="12"/>
  <c r="D36" i="12" s="1"/>
  <c r="H127" i="12"/>
  <c r="H129" i="12" s="1"/>
  <c r="H112" i="12"/>
  <c r="H119" i="12" s="1"/>
  <c r="H96" i="12"/>
  <c r="H102" i="12" s="1"/>
  <c r="G127" i="12"/>
  <c r="G129" i="12" s="1"/>
  <c r="G112" i="12"/>
  <c r="G119" i="12" s="1"/>
  <c r="G96" i="12"/>
  <c r="G102" i="12" s="1"/>
  <c r="F127" i="12"/>
  <c r="F129" i="12" s="1"/>
  <c r="F112" i="12"/>
  <c r="F119" i="12" s="1"/>
  <c r="F96" i="12"/>
  <c r="F102" i="12" s="1"/>
  <c r="E127" i="12"/>
  <c r="E129" i="12" s="1"/>
  <c r="E112" i="12"/>
  <c r="E119" i="12" s="1"/>
  <c r="E96" i="12"/>
  <c r="E102" i="12" s="1"/>
  <c r="D127" i="12"/>
  <c r="D129" i="12" s="1"/>
  <c r="D112" i="12"/>
  <c r="D119" i="12" s="1"/>
  <c r="D96" i="12"/>
  <c r="D102" i="12" s="1"/>
  <c r="C96" i="12"/>
  <c r="C127" i="12"/>
  <c r="C129" i="12" s="1"/>
  <c r="F33" i="7" l="1"/>
  <c r="E96" i="7"/>
  <c r="E27" i="7"/>
  <c r="E34" i="7" s="1"/>
  <c r="E45" i="7" s="1"/>
  <c r="C96" i="7"/>
  <c r="C27" i="7"/>
  <c r="C34" i="7" s="1"/>
  <c r="C45" i="7" s="1"/>
  <c r="F96" i="7"/>
  <c r="F27" i="7"/>
  <c r="F34" i="7" s="1"/>
  <c r="F45" i="7" s="1"/>
  <c r="D96" i="7"/>
  <c r="D27" i="7"/>
  <c r="D34" i="7" s="1"/>
  <c r="D45" i="7" s="1"/>
  <c r="E43" i="12"/>
  <c r="G43" i="12"/>
  <c r="D43" i="12"/>
  <c r="F43" i="12"/>
  <c r="G65" i="12"/>
  <c r="G67" i="12" s="1"/>
  <c r="G69" i="12" s="1"/>
  <c r="O25" i="6"/>
  <c r="P25" i="6" s="1"/>
  <c r="J8" i="7" s="1"/>
  <c r="C57" i="4"/>
  <c r="C70" i="4" s="1"/>
  <c r="C61" i="4"/>
  <c r="P6" i="6"/>
  <c r="O18" i="6"/>
  <c r="D61" i="4"/>
  <c r="D57" i="4"/>
  <c r="D70" i="4" s="1"/>
  <c r="G57" i="4"/>
  <c r="G70" i="4" s="1"/>
  <c r="G61" i="4"/>
  <c r="E61" i="4"/>
  <c r="E57" i="4"/>
  <c r="E70" i="4" s="1"/>
  <c r="C85" i="7"/>
  <c r="C79" i="7"/>
  <c r="C83" i="7"/>
  <c r="C81" i="7"/>
  <c r="E85" i="7"/>
  <c r="E83" i="7"/>
  <c r="E79" i="7"/>
  <c r="E81" i="7"/>
  <c r="G85" i="7"/>
  <c r="G83" i="7"/>
  <c r="G79" i="7"/>
  <c r="D85" i="7"/>
  <c r="D83" i="7"/>
  <c r="D79" i="7"/>
  <c r="D81" i="7"/>
  <c r="C102" i="12"/>
  <c r="H65" i="12"/>
  <c r="H67" i="12" s="1"/>
  <c r="H69" i="12" s="1"/>
  <c r="F65" i="12"/>
  <c r="F67" i="12" s="1"/>
  <c r="F69" i="12" s="1"/>
  <c r="D65" i="12"/>
  <c r="D67" i="12" s="1"/>
  <c r="D69" i="12" s="1"/>
  <c r="G6" i="7"/>
  <c r="I8" i="7" s="1"/>
  <c r="E6" i="7"/>
  <c r="E65" i="12"/>
  <c r="E67" i="12" s="1"/>
  <c r="E69" i="12" s="1"/>
  <c r="F6" i="7"/>
  <c r="F16" i="7" s="1"/>
  <c r="F8" i="7"/>
  <c r="F17" i="7" s="1"/>
  <c r="D6" i="7"/>
  <c r="C6" i="7"/>
  <c r="H43" i="12"/>
  <c r="H130" i="12"/>
  <c r="G130" i="12"/>
  <c r="D130" i="12"/>
  <c r="E130" i="12"/>
  <c r="F130" i="12"/>
  <c r="C112" i="12"/>
  <c r="C119" i="12" s="1"/>
  <c r="C130" i="12" s="1"/>
  <c r="C71" i="12"/>
  <c r="C64" i="12"/>
  <c r="B42" i="7" s="1"/>
  <c r="C63" i="12"/>
  <c r="B38" i="7" s="1"/>
  <c r="C60" i="12"/>
  <c r="C59" i="12"/>
  <c r="C58" i="12"/>
  <c r="C57" i="12"/>
  <c r="B4" i="13" s="1"/>
  <c r="C56" i="12"/>
  <c r="B3" i="13" s="1"/>
  <c r="C55" i="12"/>
  <c r="C54" i="12"/>
  <c r="C52" i="12"/>
  <c r="C51" i="12"/>
  <c r="C50" i="12"/>
  <c r="C26" i="12"/>
  <c r="B6" i="7" s="1"/>
  <c r="B16" i="7" s="1"/>
  <c r="F44" i="7" l="1"/>
  <c r="F51" i="7" s="1"/>
  <c r="F58" i="7" s="1"/>
  <c r="B33" i="7"/>
  <c r="Q25" i="6"/>
  <c r="R25" i="6" s="1"/>
  <c r="I4" i="13"/>
  <c r="I3" i="13"/>
  <c r="F61" i="4"/>
  <c r="F57" i="4"/>
  <c r="P18" i="6"/>
  <c r="Q6" i="6"/>
  <c r="K8" i="7"/>
  <c r="E71" i="7"/>
  <c r="G71" i="7"/>
  <c r="F85" i="7"/>
  <c r="F79" i="7"/>
  <c r="F83" i="7"/>
  <c r="F81" i="7"/>
  <c r="D71" i="7"/>
  <c r="C71" i="7"/>
  <c r="E7" i="7"/>
  <c r="E16" i="7"/>
  <c r="D7" i="7"/>
  <c r="D16" i="7"/>
  <c r="C7" i="7"/>
  <c r="C16" i="7"/>
  <c r="C33" i="7" s="1"/>
  <c r="G7" i="7"/>
  <c r="G16" i="7"/>
  <c r="C36" i="12"/>
  <c r="F7" i="7"/>
  <c r="C53" i="12"/>
  <c r="C144" i="12"/>
  <c r="E141" i="12" s="1"/>
  <c r="B44" i="7" l="1"/>
  <c r="B51" i="7" s="1"/>
  <c r="B58" i="7" s="1"/>
  <c r="E33" i="7"/>
  <c r="E44" i="7" s="1"/>
  <c r="E51" i="7" s="1"/>
  <c r="E58" i="7" s="1"/>
  <c r="D33" i="7"/>
  <c r="D44" i="7" s="1"/>
  <c r="D51" i="7" s="1"/>
  <c r="D58" i="7" s="1"/>
  <c r="C41" i="12"/>
  <c r="C43" i="12" s="1"/>
  <c r="C44" i="7"/>
  <c r="C51" i="7" s="1"/>
  <c r="C58" i="7" s="1"/>
  <c r="I11" i="4"/>
  <c r="H11" i="4"/>
  <c r="J11" i="4"/>
  <c r="B65" i="4"/>
  <c r="B59" i="4"/>
  <c r="H59" i="4" s="1"/>
  <c r="B96" i="7"/>
  <c r="F70" i="4"/>
  <c r="L8" i="7"/>
  <c r="K11" i="4" s="1"/>
  <c r="S25" i="6"/>
  <c r="Q18" i="6"/>
  <c r="R6" i="6"/>
  <c r="D72" i="7"/>
  <c r="C72" i="7"/>
  <c r="F71" i="7"/>
  <c r="E72" i="7"/>
  <c r="C62" i="12"/>
  <c r="C65" i="12" s="1"/>
  <c r="C67" i="12" s="1"/>
  <c r="C69" i="12" s="1"/>
  <c r="B8" i="7"/>
  <c r="E142" i="12"/>
  <c r="E140" i="12"/>
  <c r="E138" i="12"/>
  <c r="E137" i="12"/>
  <c r="E136" i="12"/>
  <c r="E139" i="12"/>
  <c r="E143" i="12"/>
  <c r="B57" i="4" l="1"/>
  <c r="B70" i="4" s="1"/>
  <c r="B61" i="4"/>
  <c r="R18" i="6"/>
  <c r="S6" i="6"/>
  <c r="I9" i="4"/>
  <c r="K9" i="4"/>
  <c r="L9" i="4"/>
  <c r="H9" i="4"/>
  <c r="J9" i="4"/>
  <c r="M8" i="7"/>
  <c r="M9" i="4" s="1"/>
  <c r="T25" i="6"/>
  <c r="N8" i="7" s="1"/>
  <c r="E52" i="7"/>
  <c r="E73" i="7"/>
  <c r="E89" i="7"/>
  <c r="C52" i="7"/>
  <c r="C73" i="7"/>
  <c r="C89" i="7"/>
  <c r="D52" i="7"/>
  <c r="D73" i="7"/>
  <c r="D89" i="7"/>
  <c r="B85" i="7"/>
  <c r="H85" i="7" s="1"/>
  <c r="B81" i="7"/>
  <c r="B79" i="7"/>
  <c r="H79" i="7" s="1"/>
  <c r="B83" i="7"/>
  <c r="H83" i="7" s="1"/>
  <c r="F72" i="7"/>
  <c r="B7" i="7"/>
  <c r="B17" i="7"/>
  <c r="F146" i="12"/>
  <c r="B27" i="7" l="1"/>
  <c r="B34" i="7" s="1"/>
  <c r="B45" i="7" s="1"/>
  <c r="H42" i="7"/>
  <c r="I42" i="7" s="1"/>
  <c r="J42" i="7"/>
  <c r="K42" i="7"/>
  <c r="S18" i="6"/>
  <c r="T6" i="6"/>
  <c r="T18" i="6" s="1"/>
  <c r="N42" i="7"/>
  <c r="M11" i="4"/>
  <c r="L42" i="7"/>
  <c r="M42" i="7"/>
  <c r="L11" i="4"/>
  <c r="F52" i="7"/>
  <c r="F73" i="7"/>
  <c r="F89" i="7"/>
  <c r="J25" i="7"/>
  <c r="K25" i="7"/>
  <c r="N25" i="7"/>
  <c r="H25" i="7"/>
  <c r="I25" i="7" s="1"/>
  <c r="L25" i="7"/>
  <c r="M25" i="7"/>
  <c r="D59" i="7"/>
  <c r="D74" i="7"/>
  <c r="D91" i="7"/>
  <c r="C59" i="7"/>
  <c r="C91" i="7"/>
  <c r="C74" i="7"/>
  <c r="K14" i="7"/>
  <c r="N14" i="7"/>
  <c r="J14" i="7"/>
  <c r="H14" i="7"/>
  <c r="L14" i="7"/>
  <c r="M14" i="7"/>
  <c r="B71" i="7"/>
  <c r="E59" i="7"/>
  <c r="E74" i="7"/>
  <c r="E91" i="7"/>
  <c r="H83" i="12"/>
  <c r="H79" i="12" s="1"/>
  <c r="H81" i="12" l="1"/>
  <c r="G20" i="7" s="1"/>
  <c r="G19" i="7" s="1"/>
  <c r="G21" i="7" s="1"/>
  <c r="N17" i="7"/>
  <c r="N71" i="7" s="1"/>
  <c r="M10" i="4"/>
  <c r="M21" i="4"/>
  <c r="M29" i="4" s="1"/>
  <c r="M37" i="4" s="1"/>
  <c r="I10" i="4"/>
  <c r="I21" i="4"/>
  <c r="I29" i="4" s="1"/>
  <c r="I37" i="4" s="1"/>
  <c r="J21" i="4"/>
  <c r="J29" i="4" s="1"/>
  <c r="J37" i="4" s="1"/>
  <c r="J10" i="4"/>
  <c r="M17" i="7"/>
  <c r="L21" i="4"/>
  <c r="L29" i="4" s="1"/>
  <c r="L37" i="4" s="1"/>
  <c r="K10" i="4"/>
  <c r="K21" i="4"/>
  <c r="K29" i="4" s="1"/>
  <c r="K37" i="4" s="1"/>
  <c r="H21" i="4"/>
  <c r="H29" i="4" s="1"/>
  <c r="H37" i="4" s="1"/>
  <c r="B72" i="7"/>
  <c r="K17" i="7"/>
  <c r="J17" i="7"/>
  <c r="L17" i="7"/>
  <c r="D75" i="7"/>
  <c r="D93" i="7"/>
  <c r="E75" i="7"/>
  <c r="E93" i="7"/>
  <c r="I14" i="7"/>
  <c r="H17" i="7"/>
  <c r="C75" i="7"/>
  <c r="C93" i="7"/>
  <c r="F59" i="7"/>
  <c r="F91" i="7"/>
  <c r="F74" i="7"/>
  <c r="M58" i="10"/>
  <c r="N58" i="10"/>
  <c r="L58" i="10"/>
  <c r="G33" i="7" l="1"/>
  <c r="G44" i="7" s="1"/>
  <c r="G51" i="7" s="1"/>
  <c r="G58" i="7" s="1"/>
  <c r="B52" i="7"/>
  <c r="L67" i="4"/>
  <c r="L10" i="4"/>
  <c r="H67" i="4"/>
  <c r="H68" i="4" s="1"/>
  <c r="H11" i="2" s="1"/>
  <c r="H10" i="4"/>
  <c r="M71" i="7"/>
  <c r="K67" i="4"/>
  <c r="I67" i="4"/>
  <c r="M67" i="4"/>
  <c r="J67" i="4"/>
  <c r="L71" i="7"/>
  <c r="F75" i="7"/>
  <c r="F93" i="7"/>
  <c r="H71" i="7"/>
  <c r="I17" i="7"/>
  <c r="I71" i="7" s="1"/>
  <c r="K71" i="7"/>
  <c r="J71" i="7"/>
  <c r="F9" i="10"/>
  <c r="F8" i="10"/>
  <c r="F7" i="10"/>
  <c r="M68" i="4" l="1"/>
  <c r="M11" i="2" s="1"/>
  <c r="L68" i="4"/>
  <c r="L11" i="2" s="1"/>
  <c r="G27" i="7"/>
  <c r="G96" i="7"/>
  <c r="H96" i="7" s="1"/>
  <c r="G81" i="7"/>
  <c r="H81" i="7" s="1"/>
  <c r="B89" i="7"/>
  <c r="B73" i="7"/>
  <c r="I68" i="4"/>
  <c r="I11" i="2" s="1"/>
  <c r="J68" i="4"/>
  <c r="J11" i="2" s="1"/>
  <c r="K68" i="4"/>
  <c r="K11" i="2" s="1"/>
  <c r="B59" i="7"/>
  <c r="B74" i="7"/>
  <c r="B91" i="7"/>
  <c r="F12" i="10"/>
  <c r="D6" i="10"/>
  <c r="C12" i="10" s="1"/>
  <c r="G34" i="7" l="1"/>
  <c r="G45" i="7" s="1"/>
  <c r="G72" i="7"/>
  <c r="M21" i="7"/>
  <c r="M27" i="7" s="1"/>
  <c r="J21" i="7"/>
  <c r="J27" i="7" s="1"/>
  <c r="K21" i="7"/>
  <c r="K27" i="7" s="1"/>
  <c r="N21" i="7"/>
  <c r="N27" i="7" s="1"/>
  <c r="H21" i="7"/>
  <c r="L21" i="7"/>
  <c r="L27" i="7" s="1"/>
  <c r="B75" i="7"/>
  <c r="B93" i="7"/>
  <c r="A64" i="4"/>
  <c r="J34" i="7" l="1"/>
  <c r="J45" i="7" s="1"/>
  <c r="J72" i="7"/>
  <c r="I21" i="7"/>
  <c r="H27" i="7"/>
  <c r="M72" i="7"/>
  <c r="M34" i="7"/>
  <c r="M45" i="7" s="1"/>
  <c r="M73" i="7" s="1"/>
  <c r="I95" i="7"/>
  <c r="H41" i="4"/>
  <c r="L34" i="7"/>
  <c r="L45" i="7" s="1"/>
  <c r="L73" i="7" s="1"/>
  <c r="L72" i="7"/>
  <c r="G52" i="7"/>
  <c r="G73" i="7"/>
  <c r="G89" i="7"/>
  <c r="H89" i="7" s="1"/>
  <c r="N34" i="7"/>
  <c r="N45" i="7" s="1"/>
  <c r="N73" i="7" s="1"/>
  <c r="N72" i="7"/>
  <c r="K72" i="7"/>
  <c r="K34" i="7"/>
  <c r="K45" i="7" s="1"/>
  <c r="K73" i="7" s="1"/>
  <c r="I27" i="7" l="1"/>
  <c r="I72" i="7" s="1"/>
  <c r="H34" i="7"/>
  <c r="H72" i="7"/>
  <c r="G59" i="7"/>
  <c r="G91" i="7"/>
  <c r="H91" i="7" s="1"/>
  <c r="G74" i="7"/>
  <c r="J52" i="7"/>
  <c r="I7" i="2" s="1"/>
  <c r="I12" i="2" s="1"/>
  <c r="M52" i="7"/>
  <c r="L7" i="2" s="1"/>
  <c r="L12" i="2" s="1"/>
  <c r="L52" i="7"/>
  <c r="K7" i="2" s="1"/>
  <c r="K12" i="2" s="1"/>
  <c r="K52" i="7"/>
  <c r="J7" i="2" s="1"/>
  <c r="J12" i="2" s="1"/>
  <c r="N52" i="7"/>
  <c r="M7" i="2" s="1"/>
  <c r="M12" i="2" s="1"/>
  <c r="J73" i="7"/>
  <c r="J59" i="7" l="1"/>
  <c r="J74" i="7"/>
  <c r="N59" i="7"/>
  <c r="N74" i="7"/>
  <c r="M74" i="7"/>
  <c r="M59" i="7"/>
  <c r="K74" i="7"/>
  <c r="K59" i="7"/>
  <c r="I34" i="7"/>
  <c r="H45" i="7"/>
  <c r="G93" i="7"/>
  <c r="H93" i="7" s="1"/>
  <c r="G75" i="7"/>
  <c r="L74" i="7"/>
  <c r="L59" i="7"/>
  <c r="N61" i="7" l="1"/>
  <c r="M20" i="2" s="1"/>
  <c r="M24" i="2" s="1"/>
  <c r="M26" i="2" s="1"/>
  <c r="N75" i="7"/>
  <c r="H49" i="7"/>
  <c r="I49" i="7" s="1"/>
  <c r="I45" i="7"/>
  <c r="I73" i="7" s="1"/>
  <c r="H73" i="7"/>
  <c r="M75" i="7"/>
  <c r="M61" i="7"/>
  <c r="L20" i="2" s="1"/>
  <c r="L24" i="2" s="1"/>
  <c r="L26" i="2" s="1"/>
  <c r="K75" i="7"/>
  <c r="K61" i="7"/>
  <c r="J20" i="2" s="1"/>
  <c r="J24" i="2" s="1"/>
  <c r="J26" i="2" s="1"/>
  <c r="L61" i="7"/>
  <c r="K20" i="2" s="1"/>
  <c r="K24" i="2" s="1"/>
  <c r="K26" i="2" s="1"/>
  <c r="L75" i="7"/>
  <c r="J61" i="7"/>
  <c r="I20" i="2" s="1"/>
  <c r="I24" i="2" s="1"/>
  <c r="I26" i="2" s="1"/>
  <c r="J75" i="7"/>
  <c r="H52" i="7" l="1"/>
  <c r="H74" i="7" l="1"/>
  <c r="H7" i="2"/>
  <c r="H12" i="2" s="1"/>
  <c r="H59" i="7"/>
  <c r="I59" i="7" s="1"/>
  <c r="I75" i="7" s="1"/>
  <c r="I52" i="7"/>
  <c r="I74" i="7" s="1"/>
  <c r="H75" i="7" l="1"/>
  <c r="H61" i="7"/>
  <c r="H20" i="2" s="1"/>
  <c r="H24" i="2" s="1"/>
  <c r="H26" i="2"/>
  <c r="H28" i="2" s="1"/>
  <c r="H42" i="4"/>
  <c r="I61" i="7" l="1"/>
  <c r="H7" i="4"/>
  <c r="H8" i="4" s="1"/>
  <c r="H12" i="4" s="1"/>
  <c r="H18" i="4" s="1"/>
  <c r="I27" i="2"/>
  <c r="I28" i="2" s="1"/>
  <c r="H45" i="4"/>
  <c r="H47" i="4" s="1"/>
  <c r="H49" i="4" s="1"/>
  <c r="I7" i="4" l="1"/>
  <c r="I8" i="4" s="1"/>
  <c r="I12" i="4" s="1"/>
  <c r="I18" i="4" s="1"/>
  <c r="J27" i="2"/>
  <c r="J28" i="2" s="1"/>
  <c r="I45" i="4"/>
  <c r="I47" i="4" s="1"/>
  <c r="I49" i="4" s="1"/>
  <c r="I51" i="4" s="1"/>
  <c r="K27" i="2" l="1"/>
  <c r="K28" i="2" s="1"/>
  <c r="J7" i="4"/>
  <c r="J8" i="4" s="1"/>
  <c r="J12" i="4" s="1"/>
  <c r="J18" i="4" s="1"/>
  <c r="J45" i="4"/>
  <c r="J47" i="4" s="1"/>
  <c r="J49" i="4" s="1"/>
  <c r="J51" i="4" s="1"/>
  <c r="L27" i="2" l="1"/>
  <c r="L28" i="2" s="1"/>
  <c r="K7" i="4"/>
  <c r="K8" i="4" s="1"/>
  <c r="K12" i="4" s="1"/>
  <c r="K18" i="4" s="1"/>
  <c r="K45" i="4"/>
  <c r="K47" i="4" s="1"/>
  <c r="K49" i="4" s="1"/>
  <c r="K51" i="4" s="1"/>
  <c r="M27" i="2" l="1"/>
  <c r="M28" i="2" s="1"/>
  <c r="M7" i="4" s="1"/>
  <c r="M8" i="4" s="1"/>
  <c r="M12" i="4" s="1"/>
  <c r="M18" i="4" s="1"/>
  <c r="L7" i="4"/>
  <c r="L8" i="4" s="1"/>
  <c r="L12" i="4" s="1"/>
  <c r="L18" i="4" s="1"/>
  <c r="M45" i="4"/>
  <c r="M47" i="4" s="1"/>
  <c r="M49" i="4" s="1"/>
  <c r="M51" i="4" s="1"/>
  <c r="L45" i="4"/>
  <c r="L47" i="4" s="1"/>
  <c r="L49" i="4" s="1"/>
  <c r="L5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tc={ABCBEF4F-AE85-4867-8CD8-5CCFAF7904D7}</author>
    <author>tc={9FD46343-9AD3-420E-A99D-9E1C857B9C34}</author>
    <author>tc={50A47CA0-BFAB-4043-A4FF-67CE7072DF77}</author>
    <author>tc={01704222-9957-4BDB-BFA6-E68BA260B0E6}</author>
    <author>tc={D4639813-43B2-4575-B4C7-65545000DE49}</author>
    <author>tc={35119F5D-0343-4E0E-8983-BFCA595A8917}</author>
    <author>tc={74BEDC02-01FE-486E-A209-305D1B9041EF}</author>
    <author>tc={789C058E-73EB-476A-8FAC-030112ED0F0E}</author>
    <author>tc={F220347F-515A-4A43-B8BB-5A739BECB397}</author>
    <author>tc={ECE705D4-F02F-40AD-BA89-F4A9332794AC}</author>
    <author>tc={A0BFF650-0075-4323-9DA0-8EA6EBEF86A4}</author>
    <author>tc={12249A56-41E8-4EAF-8E53-6320950A6EC0}</author>
  </authors>
  <commentList>
    <comment ref="C61" authorId="0" shapeId="0" xr:uid="{ABCBEF4F-AE85-4867-8CD8-5CCFAF790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3, ER, 339 million strategic gains and 54 million strategic charges</t>
      </text>
    </comment>
    <comment ref="D61" authorId="1" shapeId="0" xr:uid="{9FD46343-9AD3-420E-A99D-9E1C857B9C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Page 3, ER 1281 million charges from Sale of co. business in Russia and 271 million gains from co. sale of its dynamic yield business
</t>
      </text>
    </comment>
    <comment ref="F61" authorId="2" shapeId="0" xr:uid="{50A47CA0-BFAB-4043-A4FF-67CE7072DF77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3, 221 million restructuring charges and 70 million property sale gains</t>
      </text>
    </comment>
    <comment ref="G61" authorId="3" shapeId="0" xr:uid="{01704222-9957-4BDB-BFA6-E68BA260B0E6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3, ER 229 million restructuring charges</t>
      </text>
    </comment>
    <comment ref="C66" authorId="4" shapeId="0" xr:uid="{D4639813-43B2-4575-B4C7-65545000DE49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3, ER, 364 million tax gains</t>
      </text>
    </comment>
    <comment ref="D66" authorId="5" shapeId="0" xr:uid="{35119F5D-0343-4E0E-8983-BFCA595A89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537 million charges from Non Operating Exp. Related to settlement of tax audit </t>
      </text>
    </comment>
    <comment ref="C100" authorId="6" shapeId="0" xr:uid="{74BEDC02-01FE-486E-A209-305D1B9041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Miscellaneous + Lease right-of-use asset
= 4449.5 + 13552.0
= 17985.5 </t>
      </text>
    </comment>
    <comment ref="D100" authorId="7" shapeId="0" xr:uid="{789C058E-73EB-476A-8FAC-030112ED0F0E}">
      <text>
        <t>[Threaded comment]
Your version of Excel allows you to read this threaded comment; however, any edits to it will get removed if the file is opened in a newer version of Excel. Learn more: https://go.microsoft.com/fwlink/?linkid=870924
Comment:
    = Miscellaneous + Lease right-of-use asset
4707.2+12565.7
= 17272.9</t>
      </text>
    </comment>
    <comment ref="E100" authorId="8" shapeId="0" xr:uid="{F220347F-515A-4A43-B8BB-5A739BECB397}">
      <text>
        <t>[Threaded comment]
Your version of Excel allows you to read this threaded comment; however, any edits to it will get removed if the file is opened in a newer version of Excel. Learn more: https://go.microsoft.com/fwlink/?linkid=870924
Comment:
    = Miscellaneous + Lease right-of-use asset</t>
      </text>
    </comment>
    <comment ref="F100" authorId="9" shapeId="0" xr:uid="{ECE705D4-F02F-40AD-BA89-F4A9332794AC}">
      <text>
        <t>[Threaded comment]
Your version of Excel allows you to read this threaded comment; however, any edits to it will get removed if the file is opened in a newer version of Excel. Learn more: https://go.microsoft.com/fwlink/?linkid=870924
Comment:
    = Miscellaneous + Lease right-of-use asset</t>
      </text>
    </comment>
    <comment ref="G100" authorId="10" shapeId="0" xr:uid="{A0BFF650-0075-4323-9DA0-8EA6EBEF86A4}">
      <text>
        <t>[Threaded comment]
Your version of Excel allows you to read this threaded comment; however, any edits to it will get removed if the file is opened in a newer version of Excel. Learn more: https://go.microsoft.com/fwlink/?linkid=870924
Comment:
    = Miscellaneous + Lease right-of-use asset</t>
      </text>
    </comment>
    <comment ref="H100" authorId="11" shapeId="0" xr:uid="{12249A56-41E8-4EAF-8E53-6320950A6EC0}">
      <text>
        <t>[Threaded comment]
Your version of Excel allows you to read this threaded comment; however, any edits to it will get removed if the file is opened in a newer version of Excel. Learn more: https://go.microsoft.com/fwlink/?linkid=870924
Comment:
    = Miscellaneous + Lease right-of-use asset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tc={76A36519-4A36-4DF7-9288-D8A8E434D91A}</author>
  </authors>
  <commentList>
    <comment ref="Z14" authorId="0" shapeId="0" xr:uid="{76A36519-4A36-4DF7-9288-D8A8E434D9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S&amp;P 500 Historical Data (SPX) - Investing.com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tc={DBA04B14-E4D7-43B4-BAD0-D30E103DA348}</author>
    <author>tc={69FD7113-74AA-4679-866E-0F14BBADDB97}</author>
    <author>tc={111C6C09-ACA6-432C-ADA0-27365D73B3C6}</author>
  </authors>
  <commentList>
    <comment ref="D11" authorId="0" shapeId="0" xr:uid="{DBA04B14-E4D7-43B4-BAD0-D30E103DA34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US 10 Year Treasury Yield - Investing.com as on 30th june 2026</t>
      </text>
    </comment>
    <comment ref="D13" authorId="1" shapeId="0" xr:uid="{69FD7113-74AA-4679-866E-0F14BBADDB9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https://view.officeapps.live.com/op/view.aspx?src=https%3A%2F%2Fpages.stern.nyu.edu%2F~adamodar%2Fpc%2Fdatasets%2FctrypremApr26.xlsx&amp;wdOrigin=BROWSELINK - regional breakdown</t>
      </text>
    </comment>
    <comment ref="M43" authorId="2" shapeId="0" xr:uid="{111C6C09-ACA6-432C-ADA0-27365D73B3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McDonald's Corp.'s Proposed Senior Unsecured Euro | S&amp;P Global Ratings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tc={A8ADC481-1D6D-402C-ABE8-58CD632FE6E0}</author>
  </authors>
  <commentList>
    <comment ref="D41" authorId="0" shapeId="0" xr:uid="{A8ADC481-1D6D-402C-ABE8-58CD632FE6E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Value to Operating Income - Restaurants/Dining</t>
      </text>
    </comment>
  </commentList>
</comments>
</file>

<file path=xl/sharedStrings.xml><?xml version="1.0" encoding="utf-8"?>
<sst xmlns="http://schemas.openxmlformats.org/spreadsheetml/2006/main" count="1118" uniqueCount="540">
  <si>
    <t>(in USD millions)</t>
  </si>
  <si>
    <t>Valuation Date</t>
  </si>
  <si>
    <t>Segment Information</t>
  </si>
  <si>
    <t>12 months</t>
  </si>
  <si>
    <t>Dec. 31, 2021</t>
  </si>
  <si>
    <t>Dec. 31, 2022</t>
  </si>
  <si>
    <t>Dec. 31, 2023</t>
  </si>
  <si>
    <t>Dec. 31, 2024</t>
  </si>
  <si>
    <t>Dec. 31, 2025</t>
  </si>
  <si>
    <t>Dec. 31, 2026</t>
  </si>
  <si>
    <t>Dec. 31, 2027</t>
  </si>
  <si>
    <t>Dec. 31, 2028</t>
  </si>
  <si>
    <t>Total Division</t>
  </si>
  <si>
    <t>(in USD million except per Share Data)</t>
  </si>
  <si>
    <t>Income Statement</t>
  </si>
  <si>
    <t>Net Operating Revenues - Reported</t>
  </si>
  <si>
    <t>Cost of Goods and Services Sold - Reported</t>
  </si>
  <si>
    <t>Impact of Special Items</t>
  </si>
  <si>
    <t>Selling, General and Administrative Expense - Reported</t>
  </si>
  <si>
    <t>Other Cost and Expense, Operating - Reported</t>
  </si>
  <si>
    <t>Interest Expense-Reported</t>
  </si>
  <si>
    <t xml:space="preserve">Income Tax Expense-Reported </t>
  </si>
  <si>
    <t xml:space="preserve">Net Income-Normalised </t>
  </si>
  <si>
    <t xml:space="preserve">Share of noncontrolling interests-Reported </t>
  </si>
  <si>
    <t>Average Shares Outstanding( Assuming Dilution)</t>
  </si>
  <si>
    <t>Share-based Compensation Expenses</t>
  </si>
  <si>
    <t>Source</t>
  </si>
  <si>
    <t>Current Assets</t>
  </si>
  <si>
    <t>Cash and cash equivalents</t>
  </si>
  <si>
    <t>Total Cash, Cash equivalents &amp; Short term investments</t>
  </si>
  <si>
    <t>Trade accounts receivable</t>
  </si>
  <si>
    <t>Inventories</t>
  </si>
  <si>
    <t>Total Current assets</t>
  </si>
  <si>
    <t>Goodwill</t>
  </si>
  <si>
    <t>Total Assets</t>
  </si>
  <si>
    <t>Current Liabilities</t>
  </si>
  <si>
    <t>Accounts payable and accrued expenses</t>
  </si>
  <si>
    <t>Accrued income taxes</t>
  </si>
  <si>
    <t>Total Current Liabilities</t>
  </si>
  <si>
    <t>Long term Debt</t>
  </si>
  <si>
    <t>Capital surplus</t>
  </si>
  <si>
    <t>Reinvested earnings</t>
  </si>
  <si>
    <t>Accumulated other comprehensive income (loss)</t>
  </si>
  <si>
    <t>Equity Attributable to non-controlling interests</t>
  </si>
  <si>
    <t>Total Equity</t>
  </si>
  <si>
    <t>Total Liabilities &amp; Equity</t>
  </si>
  <si>
    <t>Check</t>
  </si>
  <si>
    <t>Working Capital</t>
  </si>
  <si>
    <t>Operating Current Assets</t>
  </si>
  <si>
    <t>Receivable Days</t>
  </si>
  <si>
    <t>Inventory Days</t>
  </si>
  <si>
    <t>Prepaid expenses and other current assets</t>
  </si>
  <si>
    <t>%age of Sales</t>
  </si>
  <si>
    <t>Operating Current Liabilities</t>
  </si>
  <si>
    <t>Cash Flow Statement</t>
  </si>
  <si>
    <t>Cash From Operating Activities</t>
  </si>
  <si>
    <t>Net Cash Provided by Operating Activities</t>
  </si>
  <si>
    <t>Cash From Investing Activities</t>
  </si>
  <si>
    <t>Capital Expenditure</t>
  </si>
  <si>
    <t>Net Cash Used for Investing Activities</t>
  </si>
  <si>
    <t>Cash From Financing Activities</t>
  </si>
  <si>
    <t>Cash dividends paid</t>
  </si>
  <si>
    <t>Debt Raised</t>
  </si>
  <si>
    <t>Debt Repaid</t>
  </si>
  <si>
    <t>Net Cash Provided by/(Used for) Financing Activities</t>
  </si>
  <si>
    <t>Net Increase/(Decrease) in Cash and Cash Equivalents</t>
  </si>
  <si>
    <t xml:space="preserve">Cash and Cash Equivalents, Beginning of Year </t>
  </si>
  <si>
    <t>Cash and Cash Equivalents, End of Period</t>
  </si>
  <si>
    <t>Debt Schedule</t>
  </si>
  <si>
    <t>Opening Debt</t>
  </si>
  <si>
    <t>Less: Mandatory Debt Repayments</t>
  </si>
  <si>
    <t>Add: debt raised</t>
  </si>
  <si>
    <t>Current portion of long term debt</t>
  </si>
  <si>
    <t>Interest Expense</t>
  </si>
  <si>
    <t>Loan Amount</t>
  </si>
  <si>
    <t>Weights</t>
  </si>
  <si>
    <t>Property, Plant &amp; Equipment</t>
  </si>
  <si>
    <t>Opening Balance-WDV</t>
  </si>
  <si>
    <t>Add: Net Addition during the Period</t>
  </si>
  <si>
    <t>Total Depreciable Assets During the Year</t>
  </si>
  <si>
    <t>Less: Depreciation during the year</t>
  </si>
  <si>
    <t>Closing Balance-WDV</t>
  </si>
  <si>
    <t>BETA CALCULATION</t>
  </si>
  <si>
    <t>Competitors</t>
  </si>
  <si>
    <t>Beta</t>
  </si>
  <si>
    <t>Market Cap</t>
  </si>
  <si>
    <t>R sq</t>
  </si>
  <si>
    <t>S&amp;P 500</t>
  </si>
  <si>
    <t>Date</t>
  </si>
  <si>
    <t>Adj Close</t>
  </si>
  <si>
    <t>% Change</t>
  </si>
  <si>
    <t>Particulars</t>
  </si>
  <si>
    <t>Notes</t>
  </si>
  <si>
    <t>Value</t>
  </si>
  <si>
    <t>Weight</t>
  </si>
  <si>
    <t>Cost</t>
  </si>
  <si>
    <t xml:space="preserve">Risk-free rate (%) </t>
  </si>
  <si>
    <t>10 year Treasury rate</t>
  </si>
  <si>
    <t>Debt (%)</t>
  </si>
  <si>
    <t>Cost of debt (%)</t>
  </si>
  <si>
    <t>Equity (%)</t>
  </si>
  <si>
    <t>Cost of equity (%)</t>
  </si>
  <si>
    <t xml:space="preserve">Equity market risk premium (%) </t>
  </si>
  <si>
    <t>WACC</t>
  </si>
  <si>
    <t>Levered beta</t>
  </si>
  <si>
    <t>Relevered beta</t>
  </si>
  <si>
    <t>Industry Average</t>
  </si>
  <si>
    <t>Equity</t>
  </si>
  <si>
    <t>Shares O/S</t>
  </si>
  <si>
    <t>M.Cap</t>
  </si>
  <si>
    <t>Tax Rate</t>
  </si>
  <si>
    <t>Latest Filing</t>
  </si>
  <si>
    <t>EBIT</t>
  </si>
  <si>
    <t>NOPAT</t>
  </si>
  <si>
    <t>Add: Depreciation and amortisation</t>
  </si>
  <si>
    <t>Less: Capital expenditure</t>
  </si>
  <si>
    <t>Terminal value</t>
  </si>
  <si>
    <t>Terminal Value</t>
  </si>
  <si>
    <t>Present Value of TV</t>
  </si>
  <si>
    <t>LTGR</t>
  </si>
  <si>
    <t>DCF Value of Firm / Operating Business Enterprise Value</t>
  </si>
  <si>
    <t>Add: Non Operating Assets</t>
  </si>
  <si>
    <t>Total Value of Firm</t>
  </si>
  <si>
    <t>Less: Gross Debt &amp; Debt Equivalents</t>
  </si>
  <si>
    <t>Add: Cash</t>
  </si>
  <si>
    <t>DCF value per share</t>
  </si>
  <si>
    <t>Exit Multiple Method</t>
  </si>
  <si>
    <t>Terminal Year EBITDA</t>
  </si>
  <si>
    <t>Exit Multiple</t>
  </si>
  <si>
    <t>Mid year discounting</t>
  </si>
  <si>
    <t>Year end discounting</t>
  </si>
  <si>
    <t>Other Items (affecting Comparability)</t>
  </si>
  <si>
    <t>DCF Calculation</t>
  </si>
  <si>
    <t>NPV for Full Year Discounting</t>
  </si>
  <si>
    <t>NPV for Mid Year Discounting</t>
  </si>
  <si>
    <t>NPV for explicit period based of Discounting Method</t>
  </si>
  <si>
    <t>Dec. 31, 2029</t>
  </si>
  <si>
    <t>Net Operating Revenue</t>
  </si>
  <si>
    <t>Tax</t>
  </si>
  <si>
    <t>Segmental Net Operating Revenue (GAAP - Reported)</t>
  </si>
  <si>
    <t>Information</t>
  </si>
  <si>
    <t>% Change Organic Revenues (non-GAAP)</t>
  </si>
  <si>
    <t>Organic Growth % (non-GAAP)</t>
  </si>
  <si>
    <t>Total Depreciation &amp; Amortization (from CFS)</t>
  </si>
  <si>
    <t>Corporate Dep. &amp; Amort. (Note - Operating Segments )</t>
  </si>
  <si>
    <t>Net Operating Revenues - Normalised/Adjusted</t>
  </si>
  <si>
    <t>Profit Attributable to NCI (from Inc. St.)</t>
  </si>
  <si>
    <t>Cost of Goods and Services Sold - Normalised/Adjusted</t>
  </si>
  <si>
    <t>Gross Profit - Normalised/Adjusted</t>
  </si>
  <si>
    <t>Cost of Goods and Services Sold - Normalized (after removing Dep.)</t>
  </si>
  <si>
    <t>Diluted Number of Shares</t>
  </si>
  <si>
    <t>Basic Number of Shares</t>
  </si>
  <si>
    <t>Average Shares Outstanding(Basic)</t>
  </si>
  <si>
    <t>Equity Dividend</t>
  </si>
  <si>
    <t>BALANCE SHEET ITEMS</t>
  </si>
  <si>
    <t>Total Cash, CE &amp; Short term investments</t>
  </si>
  <si>
    <t>Treasury Stock</t>
  </si>
  <si>
    <t>Items as % of Net Operating Income (Normalized)</t>
  </si>
  <si>
    <t>Closing Total Debt</t>
  </si>
  <si>
    <t>Weighted Average Interest Rate</t>
  </si>
  <si>
    <t>Calculation of Average Interest Rate</t>
  </si>
  <si>
    <t xml:space="preserve">Maturities of Long-Term Debt </t>
  </si>
  <si>
    <t xml:space="preserve">Average Interest Rate </t>
  </si>
  <si>
    <t>Total Depreciation</t>
  </si>
  <si>
    <t>Depreciation (Operational)</t>
  </si>
  <si>
    <t>Depreciation (Corporate)</t>
  </si>
  <si>
    <t>% Dep. Operational</t>
  </si>
  <si>
    <t>% Dep. Corporate</t>
  </si>
  <si>
    <t>Total Liabilities</t>
  </si>
  <si>
    <t>Balance Sheet</t>
  </si>
  <si>
    <t>Gross Profit - Reported</t>
  </si>
  <si>
    <t>Operating Income (EBIT) - Reported</t>
  </si>
  <si>
    <t>Selling, General and Administrative Expense - Normalised/Adjusted</t>
  </si>
  <si>
    <t>Other Cost and Expense, Operating - Normalised/Adjusted</t>
  </si>
  <si>
    <t xml:space="preserve">EBITDA - Normalized/Adjusted </t>
  </si>
  <si>
    <t>Operating Income (EBIT) - Normalised/Adjusted</t>
  </si>
  <si>
    <t>Interest expense - Normalised/Adjusted</t>
  </si>
  <si>
    <t>Other income (loss) - net Normalised/Adjusted</t>
  </si>
  <si>
    <t>EBT- Normalised/Adjusted</t>
  </si>
  <si>
    <t>EBT- Reported</t>
  </si>
  <si>
    <t>Income Tax Expense-Normalised/Adjusted</t>
  </si>
  <si>
    <t>Share of noncontrolling interests-Normalised/Adjusted</t>
  </si>
  <si>
    <t>Cost of Goods &amp; Services Sold - Normalized/Adjusted (Other than Dep. Exp)</t>
  </si>
  <si>
    <t>Selling, General &amp; Admin Exp. - Normalized/Adjusted (Excl. Corp. Dep &amp; Amort)</t>
  </si>
  <si>
    <t>Share of Non-Controlling Int. - Norm./Adj. (%age of NI - Normalized/Adjusted)</t>
  </si>
  <si>
    <t>Net Income Margin (%)-Normalised/Adjusted</t>
  </si>
  <si>
    <t>EBIT Margin (%)-Normalised/Adjusted</t>
  </si>
  <si>
    <t>EBITDA Margin (%)-Normalised/Adjusted</t>
  </si>
  <si>
    <t>Gross Profit Margin (%)-Normalised/Adjusted</t>
  </si>
  <si>
    <t>Sales Growth (%)-Normalised/Adjusted</t>
  </si>
  <si>
    <t>Date of cash flows (end-year)</t>
  </si>
  <si>
    <t>Date of cash flows (mid-year)</t>
  </si>
  <si>
    <t xml:space="preserve">No. of diluted shares </t>
  </si>
  <si>
    <t xml:space="preserve">OPERATING INCOME </t>
  </si>
  <si>
    <t>INCOME BEFORE INCOME TAXES</t>
  </si>
  <si>
    <t>CONSOL. NET INCOME</t>
  </si>
  <si>
    <t>NET INCOME ATTRIBUTABLE TO SH. HOLDERS</t>
  </si>
  <si>
    <t>INCOME STATEMENT ITEMS</t>
  </si>
  <si>
    <t xml:space="preserve">SEGMENT REVENUE </t>
  </si>
  <si>
    <t>Reported Numbers from Inc. Statement (GAAP)</t>
  </si>
  <si>
    <t>Comparable Numbers for Adj. Inc. Statement (non-GAAP)</t>
  </si>
  <si>
    <t>FEW CASHFLOW STATEMENT ITEMS</t>
  </si>
  <si>
    <t>Reported Y-o-Y Growth % (GAAP)</t>
  </si>
  <si>
    <t>Net Income-Reported</t>
  </si>
  <si>
    <t>Net Income attributable to Shareholders Margin (%)-Normalised/Adjusted</t>
  </si>
  <si>
    <t>Profitability Ratios (Annual Basis)</t>
  </si>
  <si>
    <t>Non-Op Incomes (Intt Inc + Equity Inc + Other Inc) as % of Net Op Revenue</t>
  </si>
  <si>
    <t>Dividend Payout Ratio (ie., Dividend / NI attributable to Shareholders-Normalized)</t>
  </si>
  <si>
    <t>Payable Days</t>
  </si>
  <si>
    <t>Net Working Capital (CA-CL)</t>
  </si>
  <si>
    <t>Change in NWC (CY-PY)</t>
  </si>
  <si>
    <t>PPE Turnover Ratio = Net Oper rev (Norm.)/Total Depreciable Assets</t>
  </si>
  <si>
    <t>Capex as % of Opening PPE</t>
  </si>
  <si>
    <t>Long term debt + Short Term Debt</t>
  </si>
  <si>
    <t>Minus: Changes in NWC</t>
  </si>
  <si>
    <t>Add: Depreciation and amortization</t>
  </si>
  <si>
    <t>Add: Share-based compensation expense</t>
  </si>
  <si>
    <t>Add: Interest Expense</t>
  </si>
  <si>
    <t>Calculation of Bottom-Up Beta</t>
  </si>
  <si>
    <t>Levered beta or Regression Beta or EQUITY Beta</t>
  </si>
  <si>
    <t>Average 
Debt</t>
  </si>
  <si>
    <t xml:space="preserve">Avg Debt/(Avg Debt + Avg Equity) 
</t>
  </si>
  <si>
    <t>Average Equity (Mkt. Cap)</t>
  </si>
  <si>
    <t xml:space="preserve">Avg Equity/(Avg Debt + Avg Equity) 
</t>
  </si>
  <si>
    <t>Average Debt / Average Equity</t>
  </si>
  <si>
    <t>Unlevered beta or ASSET Beta (represents Business Risk)</t>
  </si>
  <si>
    <t>Total Debt (in $ million)</t>
  </si>
  <si>
    <t>Share Price (in $)</t>
  </si>
  <si>
    <t>Cost of debt (using Credit Rating Method)</t>
  </si>
  <si>
    <t>Riskfree Rate</t>
  </si>
  <si>
    <t>Cost of debt (using Synthetic Rating Method)</t>
  </si>
  <si>
    <t>Credit Spread based on Synthetic Rating</t>
  </si>
  <si>
    <t>Source -</t>
  </si>
  <si>
    <t>Minus: Change in NWC</t>
  </si>
  <si>
    <t xml:space="preserve">Long Term Growth Rate </t>
  </si>
  <si>
    <t>Less: Non Controlling Interest</t>
  </si>
  <si>
    <t>DCF Value of Common Equity (Equity Value)</t>
  </si>
  <si>
    <t>Gordon Growth Model</t>
  </si>
  <si>
    <t>Bottoms Up Beta</t>
  </si>
  <si>
    <t>Credit Rating</t>
  </si>
  <si>
    <t>Credit Spread</t>
  </si>
  <si>
    <t>Debt Borrowing Rate (%)</t>
  </si>
  <si>
    <t>Income Tax Rate (%)</t>
  </si>
  <si>
    <t>After-tax Cost of Debt (%)</t>
  </si>
  <si>
    <t xml:space="preserve">Cost of Debt Calculation </t>
  </si>
  <si>
    <t>1 for Bottom-up &amp; 2 for Regression Beta</t>
  </si>
  <si>
    <t>CHOOSE Beta Type</t>
  </si>
  <si>
    <t>CHOOSE Cost of Debt</t>
  </si>
  <si>
    <t>Cost of debt (using historical wgted avg interest rate)</t>
  </si>
  <si>
    <t>ACTIVE CHOICE</t>
  </si>
  <si>
    <t>Regression Beta</t>
  </si>
  <si>
    <t>Target Company</t>
  </si>
  <si>
    <t>Calculation of Capital Structure of Target &amp; Peer Group Companies</t>
  </si>
  <si>
    <t xml:space="preserve">Cost of Equity </t>
  </si>
  <si>
    <t>Weighted Average Cost of Capital (WACC)</t>
  </si>
  <si>
    <t xml:space="preserve">Cost of Debt </t>
  </si>
  <si>
    <t>Cost of Equity Capital (%)</t>
  </si>
  <si>
    <t>Cost of Equity calculation using Capital Asset Pricing Model (CAPM)</t>
  </si>
  <si>
    <t xml:space="preserve">Tax </t>
  </si>
  <si>
    <t>Debt free (Unlevered) cash flow (Free Cash Flows to Firm)</t>
  </si>
  <si>
    <t>End-Year Discounting</t>
  </si>
  <si>
    <t>Mid-year Discounting</t>
  </si>
  <si>
    <t>Choose Discounting (1 for End Year, 2 for Mid-Year)</t>
  </si>
  <si>
    <t>Time to Terminal Value</t>
  </si>
  <si>
    <t>PV of TV (active choice of endyear/midyear)</t>
  </si>
  <si>
    <t>End-Year</t>
  </si>
  <si>
    <t>Mid-Year</t>
  </si>
  <si>
    <t>Total Enterprise Value of Firm</t>
  </si>
  <si>
    <t>Add: Cash &amp; STI</t>
  </si>
  <si>
    <t>Treasury stock, (shares bought by the company) ,at cost</t>
  </si>
  <si>
    <t xml:space="preserve">SENSITIVITY ANALYSIS </t>
  </si>
  <si>
    <t>Lower Value</t>
  </si>
  <si>
    <t>Higher Value</t>
  </si>
  <si>
    <t>LTM EV/EBITDA Industry</t>
  </si>
  <si>
    <t>VALUATION RANGE</t>
  </si>
  <si>
    <t>TARGET</t>
  </si>
  <si>
    <t>PEER 1</t>
  </si>
  <si>
    <t>PEER 2</t>
  </si>
  <si>
    <t>PEER 3</t>
  </si>
  <si>
    <t>PEER 4</t>
  </si>
  <si>
    <t>PEER 5</t>
  </si>
  <si>
    <t>Net Income (Consolidated)</t>
  </si>
  <si>
    <t>Basic EPS (Normalized) = Adj NI to Shareholders / Basic Shares O/s</t>
  </si>
  <si>
    <t>Diluted EPS (Normalized)  = Adj NI to Shareholders / Diluted Shares O/s</t>
  </si>
  <si>
    <t>Effective Tax Rate - Normalised (%age of EBT - Normalized)</t>
  </si>
  <si>
    <t>Dec. 31, 2030</t>
  </si>
  <si>
    <t>ROI</t>
  </si>
  <si>
    <t>Other Non-Current Assets</t>
  </si>
  <si>
    <t>Checksum</t>
  </si>
  <si>
    <t>ASSUMPTIONS</t>
  </si>
  <si>
    <t>ALTERNATIVE METHOD</t>
  </si>
  <si>
    <t>Management guidance</t>
  </si>
  <si>
    <t>Altternatively, Non-Op Incomes (all three) as % of Investments from B/S</t>
  </si>
  <si>
    <t>Share-based Compensation as %age of SG&amp;A+COGS - Normalized/Adjusted</t>
  </si>
  <si>
    <t>Cash Conversion Cycle</t>
  </si>
  <si>
    <t>Depreciation Rate = Dep / TDA</t>
  </si>
  <si>
    <t>Source : marketscreener.com, investing.com &amp; yahoo finance</t>
  </si>
  <si>
    <t>Dec. 31, 2031</t>
  </si>
  <si>
    <t>3m-o-3m</t>
  </si>
  <si>
    <t>HISTORICAL STUB</t>
  </si>
  <si>
    <t>FORECAST STUB</t>
  </si>
  <si>
    <t>Share-based compensation Expense</t>
  </si>
  <si>
    <t>Equity Dividend/Common stock dividends</t>
  </si>
  <si>
    <t>2021 10K, Page 42, 51</t>
  </si>
  <si>
    <t>2022 10K, Page 39, 48</t>
  </si>
  <si>
    <t>2023 10K, Page 41, 49</t>
  </si>
  <si>
    <t>2024 10K, Page 44, 54</t>
  </si>
  <si>
    <t>2025 10K, Page 42, 52</t>
  </si>
  <si>
    <t>2021 10K, 
Page 13</t>
  </si>
  <si>
    <t>2022 10K, 
Page 13</t>
  </si>
  <si>
    <t>2023 10K, 
Page 14</t>
  </si>
  <si>
    <t>2024 10K, 
Page 14</t>
  </si>
  <si>
    <t>2025 10K, 
Page 14</t>
  </si>
  <si>
    <t>Company-operated sales:</t>
  </si>
  <si>
    <t>Franchised revenues:</t>
  </si>
  <si>
    <t>Total Company-operated sales and Franchised revenues:</t>
  </si>
  <si>
    <t>Total Other revenues</t>
  </si>
  <si>
    <t>Total Revenues</t>
  </si>
  <si>
    <t>18
%</t>
  </si>
  <si>
    <t>19
%</t>
  </si>
  <si>
    <t>—
%</t>
  </si>
  <si>
    <t>4
%</t>
  </si>
  <si>
    <t>14
%</t>
  </si>
  <si>
    <t>2026 8K, 
Page 11</t>
  </si>
  <si>
    <t>2021 10K, 
Page 39</t>
  </si>
  <si>
    <t>Franchised Restaurants Occupancy Expenses</t>
  </si>
  <si>
    <t>Other Restaurant Expenses</t>
  </si>
  <si>
    <t>Other Operating (Income) Expense, Net</t>
  </si>
  <si>
    <t>2021 Q4 ER page 3</t>
  </si>
  <si>
    <t>Accounts and notes receivable</t>
  </si>
  <si>
    <t xml:space="preserve">PPE-Net property and equipment </t>
  </si>
  <si>
    <t>Total Euro</t>
  </si>
  <si>
    <t>Total Australian Dollar</t>
  </si>
  <si>
    <t>Total British Pounds Sterling - Fixed</t>
  </si>
  <si>
    <t>Total Canadian Dollar - Fixed</t>
  </si>
  <si>
    <t>Total Japanese Yen - Fixed</t>
  </si>
  <si>
    <t>Total other currencies (Consists of Swiss Francs)</t>
  </si>
  <si>
    <t>Source: 2025 10K, Page 61</t>
  </si>
  <si>
    <t>Total U.S. Dollar - Fixed</t>
  </si>
  <si>
    <t>Total U.S. Dollar - Floating</t>
  </si>
  <si>
    <t>2026 10Q Page 12</t>
  </si>
  <si>
    <t>Sales by Company Operated Restaurants</t>
  </si>
  <si>
    <t>Revenues from franchised operations</t>
  </si>
  <si>
    <t>Other Revenues</t>
  </si>
  <si>
    <t>Company-Operated Restaurants - Food &amp; Paper</t>
  </si>
  <si>
    <t>Company-Operated Restaurants - Payroll</t>
  </si>
  <si>
    <t>Company-Operated Restaurants - Occupancy &amp; other op. expenses</t>
  </si>
  <si>
    <t>Interest Expense--net of capitalized interest</t>
  </si>
  <si>
    <t>Nonoperating (Income) expense, net</t>
  </si>
  <si>
    <t>Adj. Sales by Company Operated Restaurants</t>
  </si>
  <si>
    <t>Adj. Revenues from franchised operations</t>
  </si>
  <si>
    <t>Adj. Other Revenues</t>
  </si>
  <si>
    <t>Adj. Net Operating Revenue</t>
  </si>
  <si>
    <t>Adj. Company-Operated Restaurants - Food &amp; Paper</t>
  </si>
  <si>
    <t>Adj. Company-Operated Restaurants - Payroll</t>
  </si>
  <si>
    <t>Adj. Company-Operated Restaurants - Occupancy &amp; other op. expenses</t>
  </si>
  <si>
    <t>Adj. Franchised Restaurants Occupancy Expenses</t>
  </si>
  <si>
    <t>Adj. Other Restaurant Expenses</t>
  </si>
  <si>
    <t>Adj. Depreciation &amp; Amortization + Other</t>
  </si>
  <si>
    <t>Adj. SG&amp;A</t>
  </si>
  <si>
    <t>Adj. Other Operating (Income) Expense, Net</t>
  </si>
  <si>
    <t xml:space="preserve">Adj. OPERATING INCOME </t>
  </si>
  <si>
    <t>Adj. Interest Expense--net of capitalized interest</t>
  </si>
  <si>
    <t>Adj. Nonoperating (Income) expense, net</t>
  </si>
  <si>
    <t>Adj. INCOME BEFORE INCOME TAXES</t>
  </si>
  <si>
    <t>Adj. Tax</t>
  </si>
  <si>
    <t>Adj. CONSOL. NET INCOME</t>
  </si>
  <si>
    <t>Adj. Profit Attributable to NCI (from Inc. St.)</t>
  </si>
  <si>
    <t>Adj. NET INCOME ATTRIBUTABLE TO SH. HOLDERS</t>
  </si>
  <si>
    <t>Basic Number of shares</t>
  </si>
  <si>
    <t>Diluted Number os shares</t>
  </si>
  <si>
    <t>source</t>
  </si>
  <si>
    <t>Other taxes</t>
  </si>
  <si>
    <t>Lease liability</t>
  </si>
  <si>
    <t>Long-term income taxes</t>
  </si>
  <si>
    <t>Long-term lease liability</t>
  </si>
  <si>
    <t>Deferred revenues - initial franchise fees</t>
  </si>
  <si>
    <t>Deferred Income Taxes</t>
  </si>
  <si>
    <t>Other long-term Liabilities</t>
  </si>
  <si>
    <t>Shareholders’ equity (deficit)</t>
  </si>
  <si>
    <t>Common stock, $0.01 par value</t>
  </si>
  <si>
    <t>Investments in and advances to affiliates</t>
  </si>
  <si>
    <t>Accrued Payroll &amp; Other Liabilities</t>
  </si>
  <si>
    <t>Accrued Interest</t>
  </si>
  <si>
    <t>Shareholders' Equity (Deficit)</t>
  </si>
  <si>
    <t>Other Intangible Assets</t>
  </si>
  <si>
    <t>2021 10K, 
Page 41</t>
  </si>
  <si>
    <t>2022 10K, 
Page 38</t>
  </si>
  <si>
    <t>2023 10K, 
Page 40</t>
  </si>
  <si>
    <t>2024 10K, 
Page 43</t>
  </si>
  <si>
    <t>2025 10K, 
Page 41</t>
  </si>
  <si>
    <t>Short term borrowings &amp; Current maturities of long-term debt</t>
  </si>
  <si>
    <t>2022 10K, 
Page 36</t>
  </si>
  <si>
    <t>2023 10K, 
Page 38</t>
  </si>
  <si>
    <t>-236.3</t>
  </si>
  <si>
    <t>-139</t>
  </si>
  <si>
    <t>-87</t>
  </si>
  <si>
    <t>2025 10K, 
Page 39</t>
  </si>
  <si>
    <t>2024 10K, 
Page 41</t>
  </si>
  <si>
    <t>2026 10Q Page 9</t>
  </si>
  <si>
    <r>
      <t xml:space="preserve">Depreciation During the year </t>
    </r>
    <r>
      <rPr>
        <b/>
        <sz val="11"/>
        <color theme="1"/>
        <rFont val="Calibri"/>
        <family val="2"/>
        <scheme val="minor"/>
      </rPr>
      <t>(PPE dep)</t>
    </r>
  </si>
  <si>
    <t xml:space="preserve">Difference </t>
  </si>
  <si>
    <t>Depreciation &amp; Amortization + Other (from IS)</t>
  </si>
  <si>
    <t>Dep Calculation</t>
  </si>
  <si>
    <t>Total Dep</t>
  </si>
  <si>
    <t>dep</t>
  </si>
  <si>
    <t>McDONALD’S CORPORATION</t>
  </si>
  <si>
    <t>McDONALD’S CORPORATION WACC Calculation</t>
  </si>
  <si>
    <t>Net Income attributable to shareholders of McDONALD’S CORPORATION  - Reported</t>
  </si>
  <si>
    <t>Net Income to shareholders of McDONALD’S CORPORATION  - Normalized/Adjusted</t>
  </si>
  <si>
    <t>Beta Calculation for Target Company - McDONALD’S CORPORATION</t>
  </si>
  <si>
    <t>McDONALD’S CORPORATION Shareholders' Equity</t>
  </si>
  <si>
    <t>Equity Attributable to Shreholders' of McDONALD’S CORPORATION</t>
  </si>
  <si>
    <t>2026 10Q Q1, 
Page 11</t>
  </si>
  <si>
    <t>2026 10Q Q1, 
Page 4</t>
  </si>
  <si>
    <t>Total Other revenues:</t>
  </si>
  <si>
    <t>6.0% growth assumed based on management-reported 6% constant-currency Systemwide sales growth and expected restaurant expansion contribution of 2.5% in FY2026.Refer FORM 8-K (page 16), Date of report: May 7, 2026.</t>
  </si>
  <si>
    <t>Nonoperating (Income) expense, net - Reported</t>
  </si>
  <si>
    <t>Selling, general &amp; administrative expenses</t>
  </si>
  <si>
    <t>Other</t>
  </si>
  <si>
    <t>Depreciation &amp; Amortization</t>
  </si>
  <si>
    <t>Total Depreciation &amp; Amortization Expense (Reported)</t>
  </si>
  <si>
    <t>Total Depreciation &amp; Amortization Expense (Normalized)</t>
  </si>
  <si>
    <r>
      <t xml:space="preserve">Depreciation During the year </t>
    </r>
    <r>
      <rPr>
        <b/>
        <sz val="11"/>
        <color theme="1"/>
        <rFont val="Calibri"/>
        <family val="2"/>
        <scheme val="minor"/>
      </rPr>
      <t>(PPE dep)</t>
    </r>
    <r>
      <rPr>
        <sz val="11"/>
        <color theme="1"/>
        <rFont val="Calibri"/>
        <family val="2"/>
        <scheme val="minor"/>
      </rPr>
      <t xml:space="preserve"> as % of Total D&amp;A</t>
    </r>
  </si>
  <si>
    <t>Difference (assuming this as Special Items) (ie., other portion of D&amp;A)</t>
  </si>
  <si>
    <t>Depreciation &amp; Amortization + Other (from IS) as % of Total D&amp;A</t>
  </si>
  <si>
    <t>Depreciation &amp; Amort. (PPE)</t>
  </si>
  <si>
    <t xml:space="preserve">written down value - asset value after reducing depreciation </t>
  </si>
  <si>
    <t>Capex as % of Sales</t>
  </si>
  <si>
    <t>Yum! Brands</t>
  </si>
  <si>
    <t>McDonald's</t>
  </si>
  <si>
    <t>Restaurant Brands International</t>
  </si>
  <si>
    <t>Domino's Pizza</t>
  </si>
  <si>
    <t>Wendy's</t>
  </si>
  <si>
    <t>Chipotle (CMG)</t>
  </si>
  <si>
    <t>Source - Weekly data, Investing.com</t>
  </si>
  <si>
    <t>06-28-2026</t>
  </si>
  <si>
    <t>06-21-2026</t>
  </si>
  <si>
    <t>06-14-2026</t>
  </si>
  <si>
    <t>05-31-2026</t>
  </si>
  <si>
    <t>05-24-2026</t>
  </si>
  <si>
    <t>05-17-2026</t>
  </si>
  <si>
    <t>04-26-2026</t>
  </si>
  <si>
    <t>04-19-2026</t>
  </si>
  <si>
    <t>03-29-2026</t>
  </si>
  <si>
    <t>03-22-2026</t>
  </si>
  <si>
    <t>03-15-2026</t>
  </si>
  <si>
    <t>02-22-2026</t>
  </si>
  <si>
    <t>02-15-2026</t>
  </si>
  <si>
    <t>01-25-2026</t>
  </si>
  <si>
    <t>01-18-2026</t>
  </si>
  <si>
    <t>12-28-2025</t>
  </si>
  <si>
    <t>12-21-2025</t>
  </si>
  <si>
    <t>12-14-2025</t>
  </si>
  <si>
    <t>11-30-2025</t>
  </si>
  <si>
    <t>11-23-2025</t>
  </si>
  <si>
    <t>11-16-2025</t>
  </si>
  <si>
    <t>10-26-2025</t>
  </si>
  <si>
    <t>10-19-2025</t>
  </si>
  <si>
    <t>09-28-2025</t>
  </si>
  <si>
    <t>09-21-2025</t>
  </si>
  <si>
    <t>09-14-2025</t>
  </si>
  <si>
    <t>08-31-2025</t>
  </si>
  <si>
    <t>08-24-2025</t>
  </si>
  <si>
    <t>08-17-2025</t>
  </si>
  <si>
    <t>07-27-2025</t>
  </si>
  <si>
    <t>07-20-2025</t>
  </si>
  <si>
    <t>07-13-2025</t>
  </si>
  <si>
    <t>06-29-2025</t>
  </si>
  <si>
    <t>06-22-2025</t>
  </si>
  <si>
    <t>06-15-2025</t>
  </si>
  <si>
    <t>05-25-2025</t>
  </si>
  <si>
    <t>05-18-2025</t>
  </si>
  <si>
    <t>04-27-2025</t>
  </si>
  <si>
    <t>04-20-2025</t>
  </si>
  <si>
    <t>04-13-2025</t>
  </si>
  <si>
    <t>03-30-2025</t>
  </si>
  <si>
    <t>03-23-2025</t>
  </si>
  <si>
    <t>03-16-2025</t>
  </si>
  <si>
    <t>02-23-2025</t>
  </si>
  <si>
    <t>02-16-2025</t>
  </si>
  <si>
    <t>01-26-2025</t>
  </si>
  <si>
    <t>01-19-2025</t>
  </si>
  <si>
    <t>12-29-2024</t>
  </si>
  <si>
    <t>12-22-2024</t>
  </si>
  <si>
    <t>12-15-2024</t>
  </si>
  <si>
    <t>11-24-2024</t>
  </si>
  <si>
    <t>11-17-2024</t>
  </si>
  <si>
    <t>10-27-2024</t>
  </si>
  <si>
    <t>10-20-2024</t>
  </si>
  <si>
    <t>10-13-2024</t>
  </si>
  <si>
    <t>09-29-2024</t>
  </si>
  <si>
    <t>09-22-2024</t>
  </si>
  <si>
    <t>09-15-2024</t>
  </si>
  <si>
    <t>08-25-2024</t>
  </si>
  <si>
    <t>08-18-2024</t>
  </si>
  <si>
    <t>07-28-2024</t>
  </si>
  <si>
    <t>07-21-2024</t>
  </si>
  <si>
    <t>07-14-2024</t>
  </si>
  <si>
    <t>06-30-2024</t>
  </si>
  <si>
    <t>06-23-2024</t>
  </si>
  <si>
    <t>06-16-2024</t>
  </si>
  <si>
    <t>05-26-2024</t>
  </si>
  <si>
    <t>05-19-2024</t>
  </si>
  <si>
    <t>04-28-2024</t>
  </si>
  <si>
    <t>04-21-2024</t>
  </si>
  <si>
    <t>04-14-2024</t>
  </si>
  <si>
    <t>03-31-2024</t>
  </si>
  <si>
    <t>03-24-2024</t>
  </si>
  <si>
    <t>03-17-2024</t>
  </si>
  <si>
    <t>02-25-2024</t>
  </si>
  <si>
    <t>02-18-2024</t>
  </si>
  <si>
    <t>01-28-2024</t>
  </si>
  <si>
    <t>01-21-2024</t>
  </si>
  <si>
    <t>01-14-2024</t>
  </si>
  <si>
    <t>12-31-2023</t>
  </si>
  <si>
    <t>12-24-2023</t>
  </si>
  <si>
    <t>12-17-2023</t>
  </si>
  <si>
    <t>11-26-2023</t>
  </si>
  <si>
    <t>11-19-2023</t>
  </si>
  <si>
    <t>10-29-2023</t>
  </si>
  <si>
    <t>10-22-2023</t>
  </si>
  <si>
    <t>10-15-2023</t>
  </si>
  <si>
    <t>09-24-2023</t>
  </si>
  <si>
    <t>09-17-2023</t>
  </si>
  <si>
    <t>08-27-2023</t>
  </si>
  <si>
    <t>08-20-2023</t>
  </si>
  <si>
    <t>08-13-2023</t>
  </si>
  <si>
    <t>07-30-2023</t>
  </si>
  <si>
    <t>07-23-2023</t>
  </si>
  <si>
    <t>07-16-2023</t>
  </si>
  <si>
    <t>AVG</t>
  </si>
  <si>
    <t>Total Debt and Shares O/S data taken from Investing.com for Q1 2026, FY2025 and FY2024 
Share Price data taken for nearest date from Beta Sheet (investing.com)</t>
  </si>
  <si>
    <t>Diluted Weighted Average Shares Outstanding</t>
  </si>
  <si>
    <t>S&amp;P</t>
  </si>
  <si>
    <t>Prof. Damodaran</t>
  </si>
  <si>
    <t>BBB</t>
  </si>
  <si>
    <t>CMP (as on 30-06-2026)</t>
  </si>
  <si>
    <t>ICR - interest coverage ratio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</si>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</sst>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_(* #,##0.00_);_(* \(#,##0.00\);_(* &quot;-&quot;??_);_(@_)"/>
    <numFmt numFmtId="165" formatCode="_-* #,##0_-;\-* #,##0_-;_-* &quot;-&quot;_-;_-@_-"/>
    <numFmt numFmtId="166" formatCode="_(* #,##0_);_(* \(#,##0\);_(* &quot;-&quot;??_);_(@_)"/>
    <numFmt numFmtId="167" formatCode="#,##0;\(#,##0\);&quot;-&quot;"/>
    <numFmt numFmtId="168" formatCode="_ * #,##0_ ;_ * \-#,##0_ ;_ * &quot;-&quot;??_ ;_ @_ "/>
    <numFmt numFmtId="169" formatCode="\ #,##0.0_);\(#,##0.0\);&quot; - &quot;_);@_)"/>
    <numFmt numFmtId="170" formatCode="0&quot; Months&quot;"/>
    <numFmt numFmtId="171" formatCode="0.0%"/>
    <numFmt numFmtId="172" formatCode="_(* #,##0.00_);_(* \(#,##0.00\);_(* &quot;-&quot;??.00_);_(@_)"/>
    <numFmt numFmtId="173" formatCode="_(* #,##0.0_);_(* \(#,##0.0\);_(* &quot;-&quot;??.0_);_(@_)"/>
    <numFmt numFmtId="174" formatCode="_(* #,##0.0_);_(* \(#,##0.0\);_(* &quot;-&quot;??_);_(@_)"/>
    <numFmt numFmtId="175" formatCode="0.0&quot;x&quot;"/>
    <numFmt numFmtId="176" formatCode="[$-409]d\-mmm\-yyyy;@"/>
    <numFmt numFmtId="177" formatCode="0.0"/>
    <numFmt numFmtId="178" formatCode="0\ &quot;bn&quot;"/>
    <numFmt numFmtId="179" formatCode="_(&quot;$ &quot;#,##0_);_(&quot;$ &quot;\(#,##0\)"/>
    <numFmt numFmtId="180" formatCode="0&quot; days&quot;"/>
    <numFmt numFmtId="181" formatCode="0.0000"/>
    <numFmt numFmtId="182" formatCode="#,##0.0000;\-#,##0.0000"/>
    <numFmt numFmtId="183" formatCode="#,##0.00;\(#,##0.00\);&quot;-&quot;"/>
    <numFmt numFmtId="184" formatCode="0.00\ &quot;bn&quot;"/>
    <numFmt numFmtId="185" formatCode="0.00&quot;x&quot;"/>
    <numFmt numFmtId="186" formatCode="#,##0.0;\-#,##0.0"/>
    <numFmt numFmtId="187" formatCode="[$-14009]dd/mm/yyyy;@"/>
  </numFmts>
  <fonts count="1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b/>
      <i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rgb="FF7030A0"/>
      <name val="Calibri"/>
      <family val="2"/>
    </font>
    <font>
      <i/>
      <sz val="11"/>
      <color rgb="FF7030A0"/>
      <name val="Calibri"/>
      <family val="2"/>
    </font>
    <font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993366"/>
      <name val="Calibri"/>
      <family val="2"/>
    </font>
    <font>
      <b/>
      <sz val="10"/>
      <color theme="0"/>
      <name val="Calibri"/>
      <family val="2"/>
    </font>
    <font>
      <i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b/>
      <sz val="10"/>
      <color rgb="FF7030A0"/>
      <name val="Calibri"/>
      <family val="2"/>
    </font>
    <font>
      <i/>
      <sz val="10"/>
      <color rgb="FF7030A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i/>
      <sz val="1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rgb="FFFF0000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rgb="FF000000"/>
      <name val="Calibri"/>
      <family val="2"/>
    </font>
    <font>
      <sz val="10"/>
      <name val="Arial Narrow"/>
      <family val="2"/>
    </font>
    <font>
      <sz val="8"/>
      <color indexed="25"/>
      <name val="Arial Narrow"/>
      <family val="2"/>
    </font>
    <font>
      <b/>
      <sz val="10"/>
      <color indexed="25"/>
      <name val="Arial Narrow"/>
      <family val="2"/>
    </font>
    <font>
      <sz val="10"/>
      <color indexed="25"/>
      <name val="Arial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i/>
      <sz val="11"/>
      <color theme="0"/>
      <name val="Calibri"/>
      <family val="2"/>
    </font>
    <font>
      <b/>
      <i/>
      <sz val="11"/>
      <color rgb="FF0070C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name val="Calibri"/>
      <family val="2"/>
    </font>
    <font>
      <b/>
      <sz val="11"/>
      <color rgb="FF0070C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  <font>
      <i/>
      <sz val="11"/>
      <color rgb="FFFF0000"/>
      <name val="Calibri"/>
      <family val="2"/>
      <scheme val="minor"/>
    </font>
    <font>
      <b/>
      <sz val="11"/>
      <color theme="4"/>
      <name val="Calibri"/>
      <family val="2"/>
    </font>
    <font>
      <b/>
      <sz val="10"/>
      <color theme="1"/>
      <name val="Calibri"/>
      <family val="2"/>
    </font>
    <font>
      <b/>
      <i/>
      <sz val="10"/>
      <color rgb="FF0070C0"/>
      <name val="Calibri"/>
      <family val="2"/>
      <scheme val="minor"/>
    </font>
    <font>
      <sz val="11"/>
      <color theme="1"/>
      <name val="Calibri"/>
      <family val="2"/>
    </font>
    <font>
      <b/>
      <i/>
      <sz val="10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1"/>
      <color rgb="FFFF0000"/>
      <name val="Calibri"/>
      <family val="2"/>
    </font>
    <font>
      <i/>
      <sz val="11"/>
      <color rgb="FFFF0000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232A31"/>
      <name val="Calibri"/>
      <family val="2"/>
    </font>
    <font>
      <sz val="12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0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1"/>
      <color theme="2" tint="-0.499984740745262"/>
      <name val="Calibri"/>
      <family val="2"/>
      <scheme val="minor"/>
    </font>
    <font>
      <b/>
      <sz val="11"/>
      <color rgb="FFFFC000"/>
      <name val="Calibri"/>
      <family val="2"/>
    </font>
    <font>
      <b/>
      <sz val="11"/>
      <color rgb="FFC00000"/>
      <name val="Calibri"/>
      <family val="2"/>
      <scheme val="minor"/>
    </font>
    <font>
      <b/>
      <i/>
      <sz val="11"/>
      <color rgb="FFC00000"/>
      <name val="Calibri"/>
      <family val="2"/>
    </font>
  </fonts>
  <fills count="6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theme="1"/>
        <bgColor theme="1"/>
      </patternFill>
    </fill>
    <fill>
      <patternFill patternType="solid">
        <fgColor rgb="FF1F3864"/>
        <bgColor rgb="FF1F3864"/>
      </patternFill>
    </fill>
    <fill>
      <patternFill patternType="solid">
        <fgColor rgb="FF002060"/>
        <bgColor rgb="FF1F38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theme="1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rgb="FF00206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164" fontId="80" fillId="0" borderId="0" applyFont="0" applyFill="0" applyBorder="0" applyAlignment="0" applyProtection="0"/>
    <xf numFmtId="165" fontId="76" fillId="0" borderId="27" applyFill="0" applyBorder="0" applyProtection="0">
      <alignment horizontal="right" vertical="top"/>
    </xf>
    <xf numFmtId="167" fontId="77" fillId="0" borderId="0">
      <alignment horizontal="left" vertical="top"/>
    </xf>
    <xf numFmtId="9" fontId="80" fillId="0" borderId="0" applyFont="0" applyFill="0" applyBorder="0" applyAlignment="0" applyProtection="0"/>
    <xf numFmtId="0" fontId="78" fillId="0" borderId="27">
      <alignment horizontal="right" wrapText="1"/>
    </xf>
    <xf numFmtId="167" fontId="76" fillId="0" borderId="0">
      <alignment horizontal="center"/>
    </xf>
    <xf numFmtId="0" fontId="76" fillId="0" borderId="0" applyFill="0" applyBorder="0">
      <alignment horizontal="left" vertical="top" wrapText="1"/>
    </xf>
    <xf numFmtId="167" fontId="79" fillId="0" borderId="27">
      <alignment horizontal="center"/>
    </xf>
    <xf numFmtId="169" fontId="76" fillId="0" borderId="0" applyFill="0" applyBorder="0">
      <alignment horizontal="right" vertical="top"/>
    </xf>
    <xf numFmtId="0" fontId="114" fillId="0" borderId="0" applyNumberFormat="0" applyFill="0" applyBorder="0" applyAlignment="0" applyProtection="0"/>
    <xf numFmtId="0" fontId="115" fillId="0" borderId="35" applyNumberFormat="0" applyFill="0" applyAlignment="0" applyProtection="0"/>
    <xf numFmtId="0" fontId="116" fillId="0" borderId="36" applyNumberFormat="0" applyFill="0" applyAlignment="0" applyProtection="0"/>
    <xf numFmtId="0" fontId="117" fillId="0" borderId="37" applyNumberFormat="0" applyFill="0" applyAlignment="0" applyProtection="0"/>
    <xf numFmtId="0" fontId="117" fillId="0" borderId="0" applyNumberFormat="0" applyFill="0" applyBorder="0" applyAlignment="0" applyProtection="0"/>
    <xf numFmtId="0" fontId="118" fillId="22" borderId="0" applyNumberFormat="0" applyBorder="0" applyAlignment="0" applyProtection="0"/>
    <xf numFmtId="0" fontId="119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5" borderId="38" applyNumberFormat="0" applyAlignment="0" applyProtection="0"/>
    <xf numFmtId="0" fontId="122" fillId="26" borderId="39" applyNumberFormat="0" applyAlignment="0" applyProtection="0"/>
    <xf numFmtId="0" fontId="123" fillId="26" borderId="38" applyNumberFormat="0" applyAlignment="0" applyProtection="0"/>
    <xf numFmtId="0" fontId="124" fillId="0" borderId="40" applyNumberFormat="0" applyFill="0" applyAlignment="0" applyProtection="0"/>
    <xf numFmtId="0" fontId="30" fillId="27" borderId="41" applyNumberFormat="0" applyAlignment="0" applyProtection="0"/>
    <xf numFmtId="0" fontId="4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45" fillId="0" borderId="43" applyNumberFormat="0" applyFill="0" applyAlignment="0" applyProtection="0"/>
    <xf numFmtId="0" fontId="126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126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126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126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126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126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0" borderId="0"/>
    <xf numFmtId="0" fontId="21" fillId="28" borderId="42" applyNumberFormat="0" applyFont="0" applyAlignment="0" applyProtection="0"/>
  </cellStyleXfs>
  <cellXfs count="708">
    <xf numFmtId="0" fontId="0" fillId="0" borderId="0" xfId="0"/>
    <xf numFmtId="0" fontId="24" fillId="3" borderId="0" xfId="0" applyFont="1" applyFill="1" applyAlignment="1">
      <alignment vertical="top"/>
    </xf>
    <xf numFmtId="15" fontId="29" fillId="3" borderId="0" xfId="0" applyNumberFormat="1" applyFont="1" applyFill="1" applyAlignment="1">
      <alignment horizontal="center" vertical="center"/>
    </xf>
    <xf numFmtId="166" fontId="27" fillId="4" borderId="2" xfId="0" applyNumberFormat="1" applyFont="1" applyFill="1" applyBorder="1" applyAlignment="1">
      <alignment vertical="top"/>
    </xf>
    <xf numFmtId="0" fontId="30" fillId="3" borderId="4" xfId="0" applyFont="1" applyFill="1" applyBorder="1" applyAlignment="1">
      <alignment vertical="top"/>
    </xf>
    <xf numFmtId="166" fontId="30" fillId="3" borderId="5" xfId="1" applyNumberFormat="1" applyFont="1" applyFill="1" applyBorder="1" applyAlignment="1">
      <alignment horizontal="center" vertical="top" wrapText="1"/>
    </xf>
    <xf numFmtId="166" fontId="30" fillId="3" borderId="6" xfId="1" applyNumberFormat="1" applyFont="1" applyFill="1" applyBorder="1" applyAlignment="1">
      <alignment horizontal="center" vertical="top" wrapText="1"/>
    </xf>
    <xf numFmtId="0" fontId="26" fillId="5" borderId="7" xfId="0" applyFont="1" applyFill="1" applyBorder="1" applyAlignment="1">
      <alignment vertical="top"/>
    </xf>
    <xf numFmtId="0" fontId="26" fillId="5" borderId="0" xfId="0" applyFont="1" applyFill="1" applyAlignment="1">
      <alignment vertical="top"/>
    </xf>
    <xf numFmtId="166" fontId="26" fillId="5" borderId="8" xfId="1" applyNumberFormat="1" applyFont="1" applyFill="1" applyBorder="1" applyAlignment="1">
      <alignment vertical="top"/>
    </xf>
    <xf numFmtId="0" fontId="27" fillId="5" borderId="7" xfId="0" applyFont="1" applyFill="1" applyBorder="1" applyAlignment="1">
      <alignment vertical="top"/>
    </xf>
    <xf numFmtId="0" fontId="27" fillId="5" borderId="0" xfId="0" applyFont="1" applyFill="1" applyAlignment="1">
      <alignment vertical="top"/>
    </xf>
    <xf numFmtId="166" fontId="27" fillId="5" borderId="8" xfId="1" applyNumberFormat="1" applyFont="1" applyFill="1" applyBorder="1" applyAlignment="1">
      <alignment vertical="top"/>
    </xf>
    <xf numFmtId="166" fontId="30" fillId="3" borderId="5" xfId="1" applyNumberFormat="1" applyFont="1" applyFill="1" applyBorder="1" applyAlignment="1">
      <alignment vertical="top"/>
    </xf>
    <xf numFmtId="0" fontId="27" fillId="5" borderId="12" xfId="0" applyFont="1" applyFill="1" applyBorder="1" applyAlignment="1">
      <alignment vertical="top"/>
    </xf>
    <xf numFmtId="0" fontId="27" fillId="5" borderId="13" xfId="0" applyFont="1" applyFill="1" applyBorder="1" applyAlignment="1">
      <alignment vertical="top"/>
    </xf>
    <xf numFmtId="173" fontId="27" fillId="5" borderId="14" xfId="1" applyNumberFormat="1" applyFont="1" applyFill="1" applyBorder="1" applyAlignment="1">
      <alignment vertical="top"/>
    </xf>
    <xf numFmtId="0" fontId="31" fillId="0" borderId="0" xfId="0" applyFont="1"/>
    <xf numFmtId="0" fontId="32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33" fillId="0" borderId="0" xfId="0" applyFont="1" applyAlignment="1">
      <alignment vertical="top"/>
    </xf>
    <xf numFmtId="0" fontId="34" fillId="0" borderId="0" xfId="5" applyFont="1" applyBorder="1" applyAlignment="1">
      <alignment horizontal="left" vertical="top" wrapText="1"/>
    </xf>
    <xf numFmtId="0" fontId="31" fillId="6" borderId="1" xfId="7" applyFont="1" applyFill="1" applyBorder="1" applyAlignment="1">
      <alignment horizontal="center" vertical="top" wrapText="1"/>
    </xf>
    <xf numFmtId="0" fontId="31" fillId="6" borderId="0" xfId="0" applyFont="1" applyFill="1" applyAlignment="1">
      <alignment vertical="top"/>
    </xf>
    <xf numFmtId="167" fontId="31" fillId="6" borderId="0" xfId="3" applyFont="1" applyFill="1">
      <alignment horizontal="left" vertical="top"/>
    </xf>
    <xf numFmtId="167" fontId="31" fillId="0" borderId="0" xfId="3" applyFont="1">
      <alignment horizontal="left" vertical="top"/>
    </xf>
    <xf numFmtId="0" fontId="34" fillId="0" borderId="0" xfId="0" applyFont="1" applyAlignment="1">
      <alignment vertical="top" wrapText="1"/>
    </xf>
    <xf numFmtId="0" fontId="24" fillId="3" borderId="1" xfId="0" applyFont="1" applyFill="1" applyBorder="1" applyAlignment="1">
      <alignment horizontal="center" vertical="top" wrapText="1"/>
    </xf>
    <xf numFmtId="0" fontId="34" fillId="0" borderId="0" xfId="0" applyFont="1" applyAlignment="1">
      <alignment vertical="top"/>
    </xf>
    <xf numFmtId="0" fontId="31" fillId="0" borderId="1" xfId="0" applyFont="1" applyBorder="1" applyAlignment="1">
      <alignment vertical="top"/>
    </xf>
    <xf numFmtId="0" fontId="34" fillId="6" borderId="1" xfId="0" applyFont="1" applyFill="1" applyBorder="1" applyAlignment="1">
      <alignment vertical="top"/>
    </xf>
    <xf numFmtId="171" fontId="31" fillId="6" borderId="1" xfId="4" applyNumberFormat="1" applyFont="1" applyFill="1" applyBorder="1" applyAlignment="1">
      <alignment vertical="top"/>
    </xf>
    <xf numFmtId="0" fontId="37" fillId="0" borderId="0" xfId="0" applyFont="1" applyAlignment="1">
      <alignment vertical="top"/>
    </xf>
    <xf numFmtId="0" fontId="38" fillId="0" borderId="0" xfId="0" applyFont="1" applyAlignment="1">
      <alignment vertical="top"/>
    </xf>
    <xf numFmtId="9" fontId="38" fillId="0" borderId="0" xfId="0" applyNumberFormat="1" applyFont="1" applyAlignment="1">
      <alignment vertical="top"/>
    </xf>
    <xf numFmtId="17" fontId="38" fillId="0" borderId="0" xfId="0" applyNumberFormat="1" applyFont="1" applyAlignment="1">
      <alignment horizontal="left" vertical="top"/>
    </xf>
    <xf numFmtId="0" fontId="37" fillId="0" borderId="0" xfId="0" applyFont="1"/>
    <xf numFmtId="0" fontId="37" fillId="0" borderId="0" xfId="0" applyFont="1" applyAlignment="1">
      <alignment wrapText="1"/>
    </xf>
    <xf numFmtId="167" fontId="34" fillId="6" borderId="1" xfId="7" applyNumberFormat="1" applyFont="1" applyFill="1" applyBorder="1">
      <alignment horizontal="left" vertical="top" wrapText="1"/>
    </xf>
    <xf numFmtId="171" fontId="31" fillId="6" borderId="0" xfId="0" applyNumberFormat="1" applyFont="1" applyFill="1" applyAlignment="1">
      <alignment vertical="top"/>
    </xf>
    <xf numFmtId="0" fontId="34" fillId="0" borderId="0" xfId="0" applyFont="1" applyAlignment="1">
      <alignment horizontal="right" vertical="top" wrapText="1"/>
    </xf>
    <xf numFmtId="171" fontId="31" fillId="0" borderId="0" xfId="4" applyNumberFormat="1" applyFont="1" applyFill="1" applyAlignment="1">
      <alignment vertical="top"/>
    </xf>
    <xf numFmtId="164" fontId="31" fillId="0" borderId="0" xfId="0" applyNumberFormat="1" applyFont="1" applyAlignment="1">
      <alignment vertical="top"/>
    </xf>
    <xf numFmtId="171" fontId="31" fillId="0" borderId="0" xfId="4" applyNumberFormat="1" applyFont="1" applyFill="1" applyBorder="1" applyAlignment="1">
      <alignment vertical="top"/>
    </xf>
    <xf numFmtId="171" fontId="31" fillId="0" borderId="0" xfId="4" applyNumberFormat="1" applyFont="1" applyFill="1" applyBorder="1" applyAlignment="1">
      <alignment horizontal="right" vertical="top"/>
    </xf>
    <xf numFmtId="0" fontId="43" fillId="0" borderId="0" xfId="0" applyFont="1"/>
    <xf numFmtId="0" fontId="0" fillId="0" borderId="7" xfId="0" applyBorder="1"/>
    <xf numFmtId="164" fontId="0" fillId="2" borderId="17" xfId="1" applyFont="1" applyFill="1" applyBorder="1"/>
    <xf numFmtId="178" fontId="0" fillId="6" borderId="17" xfId="0" applyNumberFormat="1" applyFill="1" applyBorder="1"/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164" fontId="0" fillId="2" borderId="19" xfId="1" applyFont="1" applyFill="1" applyBorder="1"/>
    <xf numFmtId="178" fontId="0" fillId="6" borderId="19" xfId="0" applyNumberFormat="1" applyFill="1" applyBorder="1"/>
    <xf numFmtId="0" fontId="45" fillId="0" borderId="0" xfId="0" applyFont="1"/>
    <xf numFmtId="0" fontId="0" fillId="0" borderId="3" xfId="0" applyBorder="1"/>
    <xf numFmtId="0" fontId="46" fillId="0" borderId="0" xfId="0" applyFont="1" applyAlignment="1">
      <alignment horizontal="center"/>
    </xf>
    <xf numFmtId="0" fontId="29" fillId="8" borderId="0" xfId="0" applyFont="1" applyFill="1" applyAlignment="1">
      <alignment vertical="top"/>
    </xf>
    <xf numFmtId="0" fontId="47" fillId="0" borderId="0" xfId="0" applyFont="1"/>
    <xf numFmtId="0" fontId="25" fillId="0" borderId="0" xfId="0" applyFont="1" applyAlignment="1">
      <alignment vertical="top"/>
    </xf>
    <xf numFmtId="170" fontId="29" fillId="8" borderId="0" xfId="0" applyNumberFormat="1" applyFont="1" applyFill="1" applyAlignment="1">
      <alignment horizontal="center" vertical="top"/>
    </xf>
    <xf numFmtId="170" fontId="29" fillId="0" borderId="0" xfId="0" applyNumberFormat="1" applyFont="1" applyAlignment="1">
      <alignment horizontal="center" vertical="top"/>
    </xf>
    <xf numFmtId="0" fontId="29" fillId="8" borderId="0" xfId="0" applyFont="1" applyFill="1" applyAlignment="1">
      <alignment vertical="top" wrapText="1"/>
    </xf>
    <xf numFmtId="15" fontId="29" fillId="0" borderId="0" xfId="0" applyNumberFormat="1" applyFont="1" applyAlignment="1">
      <alignment horizontal="center" vertical="top" wrapText="1"/>
    </xf>
    <xf numFmtId="15" fontId="29" fillId="9" borderId="0" xfId="0" applyNumberFormat="1" applyFont="1" applyFill="1" applyAlignment="1">
      <alignment horizontal="center" vertical="top" wrapText="1"/>
    </xf>
    <xf numFmtId="168" fontId="0" fillId="0" borderId="0" xfId="1" applyNumberFormat="1" applyFont="1"/>
    <xf numFmtId="168" fontId="0" fillId="0" borderId="0" xfId="1" applyNumberFormat="1" applyFont="1" applyFill="1"/>
    <xf numFmtId="168" fontId="0" fillId="0" borderId="1" xfId="1" applyNumberFormat="1" applyFont="1" applyFill="1" applyBorder="1"/>
    <xf numFmtId="0" fontId="48" fillId="0" borderId="0" xfId="0" applyFont="1"/>
    <xf numFmtId="164" fontId="0" fillId="0" borderId="0" xfId="1" applyFont="1"/>
    <xf numFmtId="168" fontId="0" fillId="0" borderId="0" xfId="1" applyNumberFormat="1" applyFont="1" applyFill="1" applyBorder="1"/>
    <xf numFmtId="171" fontId="0" fillId="0" borderId="0" xfId="4" applyNumberFormat="1" applyFont="1"/>
    <xf numFmtId="171" fontId="0" fillId="0" borderId="0" xfId="4" applyNumberFormat="1" applyFont="1" applyFill="1"/>
    <xf numFmtId="171" fontId="0" fillId="0" borderId="0" xfId="4" applyNumberFormat="1" applyFont="1" applyFill="1" applyBorder="1"/>
    <xf numFmtId="37" fontId="0" fillId="0" borderId="0" xfId="0" applyNumberFormat="1"/>
    <xf numFmtId="168" fontId="0" fillId="0" borderId="1" xfId="0" applyNumberFormat="1" applyBorder="1"/>
    <xf numFmtId="168" fontId="0" fillId="0" borderId="0" xfId="0" applyNumberFormat="1"/>
    <xf numFmtId="171" fontId="0" fillId="0" borderId="0" xfId="0" applyNumberFormat="1"/>
    <xf numFmtId="0" fontId="54" fillId="8" borderId="0" xfId="0" applyFont="1" applyFill="1" applyAlignment="1">
      <alignment vertical="top"/>
    </xf>
    <xf numFmtId="0" fontId="55" fillId="0" borderId="0" xfId="0" applyFont="1" applyAlignment="1">
      <alignment vertical="top"/>
    </xf>
    <xf numFmtId="0" fontId="54" fillId="8" borderId="0" xfId="0" applyFont="1" applyFill="1" applyAlignment="1">
      <alignment vertical="top" wrapText="1"/>
    </xf>
    <xf numFmtId="0" fontId="29" fillId="3" borderId="0" xfId="0" applyFont="1" applyFill="1" applyAlignment="1">
      <alignment horizontal="center" vertical="center"/>
    </xf>
    <xf numFmtId="0" fontId="56" fillId="0" borderId="0" xfId="0" applyFont="1"/>
    <xf numFmtId="0" fontId="57" fillId="0" borderId="0" xfId="0" applyFont="1"/>
    <xf numFmtId="0" fontId="56" fillId="0" borderId="0" xfId="0" applyFont="1" applyAlignment="1">
      <alignment horizontal="center"/>
    </xf>
    <xf numFmtId="0" fontId="56" fillId="0" borderId="0" xfId="0" applyFont="1" applyAlignment="1">
      <alignment horizontal="center" vertical="center"/>
    </xf>
    <xf numFmtId="164" fontId="0" fillId="0" borderId="0" xfId="1" applyFont="1" applyFill="1" applyBorder="1"/>
    <xf numFmtId="10" fontId="0" fillId="0" borderId="0" xfId="4" applyNumberFormat="1" applyFont="1" applyFill="1" applyBorder="1"/>
    <xf numFmtId="0" fontId="60" fillId="0" borderId="0" xfId="0" applyFont="1"/>
    <xf numFmtId="0" fontId="29" fillId="0" borderId="0" xfId="0" applyFont="1" applyAlignment="1">
      <alignment horizontal="center" vertical="center"/>
    </xf>
    <xf numFmtId="170" fontId="29" fillId="10" borderId="0" xfId="0" applyNumberFormat="1" applyFont="1" applyFill="1" applyAlignment="1">
      <alignment horizontal="center" vertical="top"/>
    </xf>
    <xf numFmtId="0" fontId="62" fillId="0" borderId="0" xfId="0" applyFont="1"/>
    <xf numFmtId="0" fontId="47" fillId="0" borderId="0" xfId="0" applyFont="1" applyAlignment="1">
      <alignment horizontal="left"/>
    </xf>
    <xf numFmtId="0" fontId="40" fillId="0" borderId="0" xfId="0" applyFont="1" applyAlignment="1">
      <alignment vertical="top"/>
    </xf>
    <xf numFmtId="166" fontId="47" fillId="0" borderId="0" xfId="0" applyNumberFormat="1" applyFont="1"/>
    <xf numFmtId="166" fontId="62" fillId="0" borderId="1" xfId="0" applyNumberFormat="1" applyFont="1" applyBorder="1"/>
    <xf numFmtId="166" fontId="62" fillId="0" borderId="0" xfId="0" applyNumberFormat="1" applyFont="1"/>
    <xf numFmtId="168" fontId="45" fillId="0" borderId="1" xfId="1" applyNumberFormat="1" applyFont="1" applyFill="1" applyBorder="1"/>
    <xf numFmtId="168" fontId="45" fillId="0" borderId="0" xfId="1" applyNumberFormat="1" applyFont="1"/>
    <xf numFmtId="168" fontId="45" fillId="0" borderId="26" xfId="1" applyNumberFormat="1" applyFont="1" applyFill="1" applyBorder="1"/>
    <xf numFmtId="0" fontId="53" fillId="0" borderId="0" xfId="0" applyFont="1" applyAlignment="1">
      <alignment vertical="top"/>
    </xf>
    <xf numFmtId="0" fontId="29" fillId="0" borderId="0" xfId="0" applyFont="1" applyAlignment="1">
      <alignment vertical="top"/>
    </xf>
    <xf numFmtId="0" fontId="0" fillId="11" borderId="0" xfId="0" applyFill="1"/>
    <xf numFmtId="0" fontId="63" fillId="0" borderId="0" xfId="0" applyFont="1" applyAlignment="1">
      <alignment vertical="top"/>
    </xf>
    <xf numFmtId="0" fontId="0" fillId="12" borderId="0" xfId="0" applyFill="1"/>
    <xf numFmtId="37" fontId="40" fillId="0" borderId="0" xfId="0" applyNumberFormat="1" applyFont="1" applyAlignment="1">
      <alignment horizontal="right" vertical="top"/>
    </xf>
    <xf numFmtId="37" fontId="0" fillId="11" borderId="0" xfId="0" applyNumberFormat="1" applyFill="1"/>
    <xf numFmtId="37" fontId="0" fillId="12" borderId="0" xfId="0" applyNumberFormat="1" applyFill="1"/>
    <xf numFmtId="168" fontId="0" fillId="12" borderId="0" xfId="1" applyNumberFormat="1" applyFont="1" applyFill="1"/>
    <xf numFmtId="37" fontId="63" fillId="12" borderId="0" xfId="0" applyNumberFormat="1" applyFont="1" applyFill="1" applyAlignment="1">
      <alignment horizontal="right" vertical="top"/>
    </xf>
    <xf numFmtId="37" fontId="40" fillId="12" borderId="0" xfId="0" applyNumberFormat="1" applyFont="1" applyFill="1" applyAlignment="1">
      <alignment horizontal="right" vertical="top"/>
    </xf>
    <xf numFmtId="164" fontId="45" fillId="0" borderId="0" xfId="1" applyFont="1"/>
    <xf numFmtId="0" fontId="62" fillId="0" borderId="0" xfId="0" applyFont="1" applyAlignment="1">
      <alignment vertical="top"/>
    </xf>
    <xf numFmtId="180" fontId="25" fillId="0" borderId="0" xfId="0" applyNumberFormat="1" applyFont="1" applyAlignment="1">
      <alignment vertical="top"/>
    </xf>
    <xf numFmtId="180" fontId="0" fillId="11" borderId="0" xfId="0" applyNumberFormat="1" applyFill="1"/>
    <xf numFmtId="0" fontId="47" fillId="0" borderId="0" xfId="0" applyFont="1" applyAlignment="1">
      <alignment vertical="top"/>
    </xf>
    <xf numFmtId="171" fontId="0" fillId="11" borderId="0" xfId="0" applyNumberFormat="1" applyFill="1"/>
    <xf numFmtId="180" fontId="25" fillId="11" borderId="0" xfId="0" applyNumberFormat="1" applyFont="1" applyFill="1" applyAlignment="1">
      <alignment vertical="top"/>
    </xf>
    <xf numFmtId="0" fontId="44" fillId="0" borderId="0" xfId="0" applyFont="1"/>
    <xf numFmtId="0" fontId="65" fillId="0" borderId="0" xfId="0" applyFont="1"/>
    <xf numFmtId="0" fontId="66" fillId="0" borderId="0" xfId="0" applyFont="1" applyAlignment="1">
      <alignment horizontal="center" vertical="top"/>
    </xf>
    <xf numFmtId="168" fontId="0" fillId="11" borderId="0" xfId="1" applyNumberFormat="1" applyFont="1" applyFill="1"/>
    <xf numFmtId="0" fontId="68" fillId="0" borderId="0" xfId="0" applyFont="1" applyAlignment="1">
      <alignment vertical="top"/>
    </xf>
    <xf numFmtId="0" fontId="69" fillId="0" borderId="0" xfId="0" applyFont="1" applyAlignment="1">
      <alignment vertical="top" wrapText="1"/>
    </xf>
    <xf numFmtId="9" fontId="0" fillId="0" borderId="0" xfId="4" applyFont="1"/>
    <xf numFmtId="0" fontId="70" fillId="0" borderId="0" xfId="0" applyFont="1" applyAlignment="1">
      <alignment vertical="top"/>
    </xf>
    <xf numFmtId="0" fontId="71" fillId="0" borderId="0" xfId="0" applyFont="1" applyAlignment="1">
      <alignment vertical="top"/>
    </xf>
    <xf numFmtId="167" fontId="53" fillId="0" borderId="0" xfId="0" applyNumberFormat="1" applyFont="1" applyAlignment="1">
      <alignment horizontal="left" vertical="top"/>
    </xf>
    <xf numFmtId="9" fontId="0" fillId="0" borderId="0" xfId="0" applyNumberFormat="1"/>
    <xf numFmtId="0" fontId="72" fillId="0" borderId="0" xfId="0" applyFont="1"/>
    <xf numFmtId="0" fontId="30" fillId="13" borderId="0" xfId="0" applyFont="1" applyFill="1"/>
    <xf numFmtId="0" fontId="74" fillId="13" borderId="0" xfId="0" applyFont="1" applyFill="1"/>
    <xf numFmtId="170" fontId="29" fillId="14" borderId="0" xfId="0" applyNumberFormat="1" applyFont="1" applyFill="1" applyAlignment="1">
      <alignment horizontal="center" vertical="top"/>
    </xf>
    <xf numFmtId="0" fontId="29" fillId="13" borderId="0" xfId="0" applyFont="1" applyFill="1" applyAlignment="1">
      <alignment horizontal="center" vertical="center"/>
    </xf>
    <xf numFmtId="0" fontId="0" fillId="15" borderId="0" xfId="0" applyFill="1"/>
    <xf numFmtId="166" fontId="52" fillId="0" borderId="0" xfId="0" applyNumberFormat="1" applyFont="1" applyAlignment="1">
      <alignment horizontal="left" vertical="top"/>
    </xf>
    <xf numFmtId="168" fontId="0" fillId="15" borderId="0" xfId="1" applyNumberFormat="1" applyFont="1" applyFill="1"/>
    <xf numFmtId="9" fontId="72" fillId="0" borderId="0" xfId="4" applyFont="1"/>
    <xf numFmtId="9" fontId="72" fillId="15" borderId="0" xfId="4" applyFont="1" applyFill="1"/>
    <xf numFmtId="9" fontId="72" fillId="16" borderId="15" xfId="4" applyFont="1" applyFill="1" applyBorder="1"/>
    <xf numFmtId="166" fontId="64" fillId="0" borderId="0" xfId="0" applyNumberFormat="1" applyFont="1" applyAlignment="1">
      <alignment horizontal="left" vertical="top" wrapText="1"/>
    </xf>
    <xf numFmtId="168" fontId="45" fillId="0" borderId="26" xfId="0" applyNumberFormat="1" applyFont="1" applyBorder="1"/>
    <xf numFmtId="0" fontId="59" fillId="0" borderId="0" xfId="0" applyFont="1" applyAlignment="1">
      <alignment horizontal="center" vertical="center"/>
    </xf>
    <xf numFmtId="0" fontId="23" fillId="0" borderId="0" xfId="0" applyFont="1"/>
    <xf numFmtId="170" fontId="82" fillId="8" borderId="0" xfId="0" applyNumberFormat="1" applyFont="1" applyFill="1" applyAlignment="1">
      <alignment horizontal="center" vertical="top"/>
    </xf>
    <xf numFmtId="166" fontId="83" fillId="17" borderId="0" xfId="0" applyNumberFormat="1" applyFont="1" applyFill="1" applyAlignment="1">
      <alignment horizontal="right" vertical="top" wrapText="1"/>
    </xf>
    <xf numFmtId="0" fontId="0" fillId="18" borderId="0" xfId="0" applyFill="1"/>
    <xf numFmtId="0" fontId="0" fillId="19" borderId="0" xfId="0" applyFill="1"/>
    <xf numFmtId="168" fontId="0" fillId="18" borderId="0" xfId="1" applyNumberFormat="1" applyFont="1" applyFill="1"/>
    <xf numFmtId="168" fontId="0" fillId="19" borderId="0" xfId="1" applyNumberFormat="1" applyFont="1" applyFill="1"/>
    <xf numFmtId="9" fontId="84" fillId="17" borderId="0" xfId="4" applyFont="1" applyFill="1" applyAlignment="1">
      <alignment horizontal="right" vertical="top" wrapText="1"/>
    </xf>
    <xf numFmtId="9" fontId="85" fillId="0" borderId="0" xfId="4" applyFont="1"/>
    <xf numFmtId="9" fontId="85" fillId="19" borderId="0" xfId="4" applyFont="1" applyFill="1"/>
    <xf numFmtId="0" fontId="81" fillId="0" borderId="0" xfId="0" applyFont="1"/>
    <xf numFmtId="170" fontId="82" fillId="10" borderId="0" xfId="0" applyNumberFormat="1" applyFont="1" applyFill="1" applyAlignment="1">
      <alignment horizontal="center" vertical="top"/>
    </xf>
    <xf numFmtId="15" fontId="82" fillId="8" borderId="0" xfId="0" applyNumberFormat="1" applyFont="1" applyFill="1" applyAlignment="1">
      <alignment horizontal="center" vertical="top" wrapText="1"/>
    </xf>
    <xf numFmtId="15" fontId="82" fillId="10" borderId="0" xfId="0" applyNumberFormat="1" applyFont="1" applyFill="1" applyAlignment="1">
      <alignment horizontal="center" vertical="top" wrapText="1"/>
    </xf>
    <xf numFmtId="168" fontId="0" fillId="0" borderId="3" xfId="1" applyNumberFormat="1" applyFont="1" applyBorder="1"/>
    <xf numFmtId="168" fontId="45" fillId="0" borderId="0" xfId="1" applyNumberFormat="1" applyFont="1" applyFill="1" applyBorder="1"/>
    <xf numFmtId="0" fontId="91" fillId="8" borderId="0" xfId="0" applyFont="1" applyFill="1" applyAlignment="1">
      <alignment horizontal="left" vertical="top"/>
    </xf>
    <xf numFmtId="0" fontId="74" fillId="0" borderId="0" xfId="0" applyFont="1"/>
    <xf numFmtId="166" fontId="87" fillId="0" borderId="0" xfId="0" applyNumberFormat="1" applyFont="1" applyAlignment="1">
      <alignment horizontal="left" vertical="top" wrapText="1"/>
    </xf>
    <xf numFmtId="0" fontId="86" fillId="0" borderId="0" xfId="0" applyFont="1"/>
    <xf numFmtId="0" fontId="92" fillId="0" borderId="0" xfId="0" applyFont="1"/>
    <xf numFmtId="0" fontId="93" fillId="0" borderId="0" xfId="0" applyFont="1"/>
    <xf numFmtId="1" fontId="0" fillId="0" borderId="0" xfId="0" applyNumberFormat="1"/>
    <xf numFmtId="0" fontId="90" fillId="0" borderId="0" xfId="0" applyFont="1" applyAlignment="1">
      <alignment vertical="top"/>
    </xf>
    <xf numFmtId="0" fontId="95" fillId="0" borderId="0" xfId="0" applyFont="1" applyAlignment="1">
      <alignment vertical="top" wrapText="1"/>
    </xf>
    <xf numFmtId="0" fontId="95" fillId="0" borderId="0" xfId="0" applyFont="1" applyAlignment="1">
      <alignment horizontal="left" vertical="top"/>
    </xf>
    <xf numFmtId="0" fontId="88" fillId="0" borderId="0" xfId="0" applyFont="1"/>
    <xf numFmtId="179" fontId="90" fillId="0" borderId="0" xfId="0" applyNumberFormat="1" applyFont="1" applyAlignment="1">
      <alignment horizontal="right" vertical="top"/>
    </xf>
    <xf numFmtId="37" fontId="90" fillId="0" borderId="0" xfId="0" applyNumberFormat="1" applyFont="1" applyAlignment="1">
      <alignment horizontal="right" vertical="top"/>
    </xf>
    <xf numFmtId="37" fontId="94" fillId="0" borderId="0" xfId="0" applyNumberFormat="1" applyFont="1" applyAlignment="1">
      <alignment horizontal="right" vertical="top"/>
    </xf>
    <xf numFmtId="0" fontId="96" fillId="0" borderId="0" xfId="0" applyFont="1" applyAlignment="1">
      <alignment vertical="top" wrapText="1"/>
    </xf>
    <xf numFmtId="3" fontId="97" fillId="0" borderId="0" xfId="0" applyNumberFormat="1" applyFont="1"/>
    <xf numFmtId="37" fontId="98" fillId="0" borderId="0" xfId="0" applyNumberFormat="1" applyFont="1" applyAlignment="1">
      <alignment horizontal="right" vertical="top"/>
    </xf>
    <xf numFmtId="166" fontId="98" fillId="0" borderId="0" xfId="0" applyNumberFormat="1" applyFont="1" applyAlignment="1">
      <alignment horizontal="right" vertical="top" wrapText="1"/>
    </xf>
    <xf numFmtId="0" fontId="99" fillId="0" borderId="0" xfId="0" applyFont="1"/>
    <xf numFmtId="1" fontId="100" fillId="0" borderId="0" xfId="0" applyNumberFormat="1" applyFont="1" applyAlignment="1">
      <alignment horizontal="right" vertical="top"/>
    </xf>
    <xf numFmtId="1" fontId="96" fillId="0" borderId="0" xfId="0" applyNumberFormat="1" applyFont="1" applyAlignment="1">
      <alignment horizontal="right" vertical="top"/>
    </xf>
    <xf numFmtId="37" fontId="100" fillId="0" borderId="0" xfId="0" applyNumberFormat="1" applyFont="1" applyAlignment="1">
      <alignment horizontal="right" vertical="top"/>
    </xf>
    <xf numFmtId="37" fontId="95" fillId="0" borderId="0" xfId="0" applyNumberFormat="1" applyFont="1" applyAlignment="1">
      <alignment horizontal="right" vertical="top"/>
    </xf>
    <xf numFmtId="0" fontId="94" fillId="0" borderId="0" xfId="0" applyFont="1" applyAlignment="1">
      <alignment vertical="top"/>
    </xf>
    <xf numFmtId="1" fontId="0" fillId="12" borderId="0" xfId="0" applyNumberFormat="1" applyFill="1"/>
    <xf numFmtId="0" fontId="101" fillId="0" borderId="0" xfId="0" applyFont="1"/>
    <xf numFmtId="168" fontId="81" fillId="0" borderId="0" xfId="0" applyNumberFormat="1" applyFont="1"/>
    <xf numFmtId="0" fontId="44" fillId="12" borderId="0" xfId="0" applyFont="1" applyFill="1"/>
    <xf numFmtId="0" fontId="99" fillId="12" borderId="0" xfId="0" applyFont="1" applyFill="1"/>
    <xf numFmtId="166" fontId="67" fillId="12" borderId="0" xfId="0" applyNumberFormat="1" applyFont="1" applyFill="1" applyAlignment="1">
      <alignment horizontal="right" vertical="top" wrapText="1"/>
    </xf>
    <xf numFmtId="171" fontId="0" fillId="12" borderId="0" xfId="0" applyNumberFormat="1" applyFill="1"/>
    <xf numFmtId="0" fontId="0" fillId="20" borderId="0" xfId="0" applyFill="1"/>
    <xf numFmtId="37" fontId="40" fillId="20" borderId="0" xfId="0" applyNumberFormat="1" applyFont="1" applyFill="1" applyAlignment="1">
      <alignment horizontal="right" vertical="top"/>
    </xf>
    <xf numFmtId="37" fontId="63" fillId="20" borderId="0" xfId="0" applyNumberFormat="1" applyFont="1" applyFill="1" applyAlignment="1">
      <alignment horizontal="right" vertical="top"/>
    </xf>
    <xf numFmtId="10" fontId="0" fillId="0" borderId="0" xfId="4" applyNumberFormat="1" applyFont="1"/>
    <xf numFmtId="37" fontId="47" fillId="0" borderId="0" xfId="0" applyNumberFormat="1" applyFont="1" applyAlignment="1">
      <alignment vertical="top"/>
    </xf>
    <xf numFmtId="0" fontId="82" fillId="8" borderId="0" xfId="0" applyFont="1" applyFill="1" applyAlignment="1">
      <alignment vertical="top"/>
    </xf>
    <xf numFmtId="37" fontId="81" fillId="0" borderId="0" xfId="0" applyNumberFormat="1" applyFont="1"/>
    <xf numFmtId="37" fontId="90" fillId="12" borderId="1" xfId="0" applyNumberFormat="1" applyFont="1" applyFill="1" applyBorder="1" applyAlignment="1">
      <alignment horizontal="right" vertical="top"/>
    </xf>
    <xf numFmtId="164" fontId="45" fillId="12" borderId="0" xfId="1" applyFont="1" applyFill="1"/>
    <xf numFmtId="37" fontId="100" fillId="12" borderId="1" xfId="0" applyNumberFormat="1" applyFont="1" applyFill="1" applyBorder="1" applyAlignment="1">
      <alignment horizontal="right" vertical="top"/>
    </xf>
    <xf numFmtId="37" fontId="95" fillId="12" borderId="1" xfId="0" applyNumberFormat="1" applyFont="1" applyFill="1" applyBorder="1" applyAlignment="1">
      <alignment horizontal="right" vertical="top"/>
    </xf>
    <xf numFmtId="37" fontId="100" fillId="20" borderId="1" xfId="0" applyNumberFormat="1" applyFont="1" applyFill="1" applyBorder="1" applyAlignment="1">
      <alignment horizontal="right" vertical="top"/>
    </xf>
    <xf numFmtId="37" fontId="95" fillId="20" borderId="1" xfId="0" applyNumberFormat="1" applyFont="1" applyFill="1" applyBorder="1" applyAlignment="1">
      <alignment horizontal="right" vertical="top"/>
    </xf>
    <xf numFmtId="37" fontId="90" fillId="20" borderId="1" xfId="0" applyNumberFormat="1" applyFont="1" applyFill="1" applyBorder="1" applyAlignment="1">
      <alignment horizontal="right" vertical="top"/>
    </xf>
    <xf numFmtId="37" fontId="94" fillId="0" borderId="3" xfId="0" applyNumberFormat="1" applyFont="1" applyBorder="1" applyAlignment="1">
      <alignment horizontal="right" vertical="top"/>
    </xf>
    <xf numFmtId="0" fontId="0" fillId="12" borderId="3" xfId="0" applyFill="1" applyBorder="1"/>
    <xf numFmtId="37" fontId="40" fillId="20" borderId="3" xfId="0" applyNumberFormat="1" applyFont="1" applyFill="1" applyBorder="1" applyAlignment="1">
      <alignment horizontal="right" vertical="top"/>
    </xf>
    <xf numFmtId="37" fontId="90" fillId="12" borderId="0" xfId="0" applyNumberFormat="1" applyFont="1" applyFill="1" applyAlignment="1">
      <alignment horizontal="right" vertical="top"/>
    </xf>
    <xf numFmtId="37" fontId="90" fillId="20" borderId="0" xfId="0" applyNumberFormat="1" applyFont="1" applyFill="1" applyAlignment="1">
      <alignment horizontal="right" vertical="top"/>
    </xf>
    <xf numFmtId="0" fontId="65" fillId="0" borderId="0" xfId="0" applyFont="1" applyAlignment="1">
      <alignment horizontal="center"/>
    </xf>
    <xf numFmtId="9" fontId="44" fillId="0" borderId="0" xfId="0" applyNumberFormat="1" applyFont="1"/>
    <xf numFmtId="0" fontId="104" fillId="0" borderId="0" xfId="0" applyFont="1" applyAlignment="1">
      <alignment horizontal="left" wrapText="1"/>
    </xf>
    <xf numFmtId="168" fontId="45" fillId="0" borderId="1" xfId="1" applyNumberFormat="1" applyFont="1" applyBorder="1"/>
    <xf numFmtId="168" fontId="45" fillId="0" borderId="21" xfId="1" applyNumberFormat="1" applyFont="1" applyFill="1" applyBorder="1"/>
    <xf numFmtId="168" fontId="45" fillId="0" borderId="21" xfId="1" applyNumberFormat="1" applyFont="1" applyBorder="1"/>
    <xf numFmtId="168" fontId="45" fillId="0" borderId="0" xfId="1" applyNumberFormat="1" applyFont="1" applyFill="1"/>
    <xf numFmtId="0" fontId="105" fillId="0" borderId="0" xfId="0" applyFont="1"/>
    <xf numFmtId="166" fontId="75" fillId="0" borderId="0" xfId="0" applyNumberFormat="1" applyFont="1" applyAlignment="1">
      <alignment horizontal="left" vertical="top" wrapText="1"/>
    </xf>
    <xf numFmtId="9" fontId="72" fillId="0" borderId="0" xfId="4" applyFont="1" applyFill="1"/>
    <xf numFmtId="37" fontId="53" fillId="0" borderId="0" xfId="0" applyNumberFormat="1" applyFont="1" applyAlignment="1">
      <alignment vertical="top"/>
    </xf>
    <xf numFmtId="2" fontId="72" fillId="16" borderId="15" xfId="4" applyNumberFormat="1" applyFont="1" applyFill="1" applyBorder="1"/>
    <xf numFmtId="0" fontId="92" fillId="0" borderId="0" xfId="0" applyFont="1" applyAlignment="1">
      <alignment vertical="center"/>
    </xf>
    <xf numFmtId="9" fontId="99" fillId="0" borderId="0" xfId="4" applyFont="1"/>
    <xf numFmtId="171" fontId="72" fillId="16" borderId="15" xfId="4" applyNumberFormat="1" applyFont="1" applyFill="1" applyBorder="1"/>
    <xf numFmtId="171" fontId="85" fillId="16" borderId="15" xfId="4" applyNumberFormat="1" applyFont="1" applyFill="1" applyBorder="1"/>
    <xf numFmtId="0" fontId="110" fillId="0" borderId="0" xfId="0" applyFont="1"/>
    <xf numFmtId="37" fontId="96" fillId="0" borderId="1" xfId="0" applyNumberFormat="1" applyFont="1" applyBorder="1" applyAlignment="1">
      <alignment horizontal="right" vertical="top"/>
    </xf>
    <xf numFmtId="39" fontId="94" fillId="0" borderId="0" xfId="0" applyNumberFormat="1" applyFont="1" applyAlignment="1">
      <alignment horizontal="right" vertical="top"/>
    </xf>
    <xf numFmtId="166" fontId="109" fillId="0" borderId="0" xfId="0" applyNumberFormat="1" applyFont="1" applyAlignment="1">
      <alignment horizontal="right" vertical="top" wrapText="1"/>
    </xf>
    <xf numFmtId="181" fontId="0" fillId="12" borderId="0" xfId="0" applyNumberFormat="1" applyFill="1"/>
    <xf numFmtId="182" fontId="0" fillId="12" borderId="0" xfId="0" applyNumberFormat="1" applyFill="1"/>
    <xf numFmtId="2" fontId="0" fillId="12" borderId="0" xfId="0" applyNumberFormat="1" applyFill="1"/>
    <xf numFmtId="39" fontId="40" fillId="20" borderId="0" xfId="0" applyNumberFormat="1" applyFont="1" applyFill="1" applyAlignment="1">
      <alignment horizontal="right" vertical="top"/>
    </xf>
    <xf numFmtId="37" fontId="63" fillId="0" borderId="1" xfId="0" applyNumberFormat="1" applyFont="1" applyBorder="1" applyAlignment="1">
      <alignment horizontal="right" vertical="top"/>
    </xf>
    <xf numFmtId="37" fontId="63" fillId="0" borderId="28" xfId="0" applyNumberFormat="1" applyFont="1" applyBorder="1" applyAlignment="1">
      <alignment horizontal="right" vertical="top"/>
    </xf>
    <xf numFmtId="37" fontId="63" fillId="0" borderId="29" xfId="0" applyNumberFormat="1" applyFont="1" applyBorder="1" applyAlignment="1">
      <alignment horizontal="right" vertical="top"/>
    </xf>
    <xf numFmtId="0" fontId="22" fillId="0" borderId="0" xfId="0" applyFont="1"/>
    <xf numFmtId="180" fontId="72" fillId="16" borderId="15" xfId="4" applyNumberFormat="1" applyFont="1" applyFill="1" applyBorder="1"/>
    <xf numFmtId="164" fontId="22" fillId="0" borderId="0" xfId="1" applyFont="1"/>
    <xf numFmtId="168" fontId="22" fillId="0" borderId="0" xfId="1" applyNumberFormat="1" applyFont="1"/>
    <xf numFmtId="171" fontId="22" fillId="0" borderId="0" xfId="4" applyNumberFormat="1" applyFont="1"/>
    <xf numFmtId="0" fontId="51" fillId="0" borderId="0" xfId="0" applyFont="1" applyAlignment="1">
      <alignment wrapText="1"/>
    </xf>
    <xf numFmtId="168" fontId="45" fillId="0" borderId="29" xfId="1" applyNumberFormat="1" applyFont="1" applyBorder="1"/>
    <xf numFmtId="37" fontId="67" fillId="12" borderId="0" xfId="0" applyNumberFormat="1" applyFont="1" applyFill="1" applyAlignment="1">
      <alignment horizontal="right" vertical="top"/>
    </xf>
    <xf numFmtId="37" fontId="67" fillId="20" borderId="0" xfId="0" applyNumberFormat="1" applyFont="1" applyFill="1" applyAlignment="1">
      <alignment horizontal="right" vertical="top"/>
    </xf>
    <xf numFmtId="0" fontId="27" fillId="0" borderId="0" xfId="0" applyFont="1"/>
    <xf numFmtId="0" fontId="34" fillId="0" borderId="4" xfId="5" applyFont="1" applyBorder="1" applyAlignment="1">
      <alignment horizontal="left" vertical="top" wrapText="1"/>
    </xf>
    <xf numFmtId="167" fontId="31" fillId="0" borderId="5" xfId="8" applyFont="1" applyBorder="1" applyAlignment="1">
      <alignment horizontal="center" vertical="top"/>
    </xf>
    <xf numFmtId="0" fontId="34" fillId="0" borderId="6" xfId="5" applyFont="1" applyBorder="1" applyAlignment="1">
      <alignment horizontal="right" vertical="top" wrapText="1"/>
    </xf>
    <xf numFmtId="167" fontId="31" fillId="6" borderId="30" xfId="7" applyNumberFormat="1" applyFont="1" applyFill="1" applyBorder="1" applyAlignment="1">
      <alignment horizontal="left" vertical="top"/>
    </xf>
    <xf numFmtId="167" fontId="31" fillId="6" borderId="7" xfId="7" applyNumberFormat="1" applyFont="1" applyFill="1" applyBorder="1" applyAlignment="1">
      <alignment horizontal="left" vertical="top"/>
    </xf>
    <xf numFmtId="0" fontId="31" fillId="6" borderId="0" xfId="7" applyFont="1" applyFill="1" applyBorder="1" applyAlignment="1">
      <alignment horizontal="center" vertical="top" wrapText="1"/>
    </xf>
    <xf numFmtId="167" fontId="31" fillId="6" borderId="9" xfId="7" applyNumberFormat="1" applyFont="1" applyFill="1" applyBorder="1" applyAlignment="1">
      <alignment horizontal="left" vertical="top"/>
    </xf>
    <xf numFmtId="0" fontId="31" fillId="6" borderId="10" xfId="0" applyFont="1" applyFill="1" applyBorder="1" applyAlignment="1">
      <alignment vertical="top"/>
    </xf>
    <xf numFmtId="0" fontId="31" fillId="0" borderId="0" xfId="0" applyFont="1" applyAlignment="1">
      <alignment vertical="top" wrapText="1"/>
    </xf>
    <xf numFmtId="0" fontId="31" fillId="0" borderId="0" xfId="0" applyFont="1" applyAlignment="1">
      <alignment wrapText="1"/>
    </xf>
    <xf numFmtId="164" fontId="111" fillId="0" borderId="16" xfId="0" applyNumberFormat="1" applyFont="1" applyBorder="1" applyAlignment="1">
      <alignment vertical="top"/>
    </xf>
    <xf numFmtId="0" fontId="31" fillId="0" borderId="25" xfId="0" applyFont="1" applyBorder="1" applyAlignment="1">
      <alignment vertical="top"/>
    </xf>
    <xf numFmtId="0" fontId="34" fillId="0" borderId="23" xfId="0" applyFont="1" applyBorder="1" applyAlignment="1">
      <alignment vertical="top"/>
    </xf>
    <xf numFmtId="164" fontId="31" fillId="6" borderId="0" xfId="1" applyFont="1" applyFill="1" applyAlignment="1">
      <alignment vertical="top"/>
    </xf>
    <xf numFmtId="0" fontId="34" fillId="0" borderId="34" xfId="5" applyFont="1" applyBorder="1" applyAlignment="1">
      <alignment horizontal="left" vertical="top" wrapText="1"/>
    </xf>
    <xf numFmtId="167" fontId="31" fillId="0" borderId="21" xfId="8" applyFont="1" applyBorder="1" applyAlignment="1">
      <alignment horizontal="center" vertical="top"/>
    </xf>
    <xf numFmtId="0" fontId="31" fillId="0" borderId="7" xfId="5" applyFont="1" applyBorder="1" applyAlignment="1">
      <alignment horizontal="left" vertical="top" wrapText="1"/>
    </xf>
    <xf numFmtId="167" fontId="31" fillId="0" borderId="0" xfId="8" applyFont="1" applyBorder="1" applyAlignment="1">
      <alignment horizontal="center" vertical="top"/>
    </xf>
    <xf numFmtId="0" fontId="73" fillId="0" borderId="0" xfId="0" applyFont="1" applyAlignment="1">
      <alignment vertical="top"/>
    </xf>
    <xf numFmtId="0" fontId="0" fillId="6" borderId="0" xfId="0" applyFill="1" applyAlignment="1">
      <alignment vertical="center"/>
    </xf>
    <xf numFmtId="0" fontId="25" fillId="6" borderId="0" xfId="0" applyFont="1" applyFill="1" applyAlignment="1">
      <alignment vertical="top"/>
    </xf>
    <xf numFmtId="0" fontId="26" fillId="6" borderId="0" xfId="0" applyFont="1" applyFill="1" applyAlignment="1">
      <alignment vertical="top"/>
    </xf>
    <xf numFmtId="15" fontId="26" fillId="6" borderId="0" xfId="0" applyNumberFormat="1" applyFont="1" applyFill="1" applyAlignment="1">
      <alignment vertical="top"/>
    </xf>
    <xf numFmtId="0" fontId="0" fillId="6" borderId="0" xfId="0" applyFill="1"/>
    <xf numFmtId="9" fontId="26" fillId="6" borderId="0" xfId="0" applyNumberFormat="1" applyFont="1" applyFill="1" applyAlignment="1">
      <alignment vertical="top"/>
    </xf>
    <xf numFmtId="0" fontId="27" fillId="6" borderId="0" xfId="0" applyFont="1" applyFill="1" applyAlignment="1">
      <alignment vertical="top"/>
    </xf>
    <xf numFmtId="0" fontId="28" fillId="6" borderId="0" xfId="0" applyFont="1" applyFill="1" applyAlignment="1">
      <alignment vertical="top"/>
    </xf>
    <xf numFmtId="15" fontId="63" fillId="6" borderId="0" xfId="0" applyNumberFormat="1" applyFont="1" applyFill="1" applyAlignment="1">
      <alignment horizontal="center" vertical="top" wrapText="1"/>
    </xf>
    <xf numFmtId="15" fontId="63" fillId="0" borderId="0" xfId="0" applyNumberFormat="1" applyFont="1" applyAlignment="1">
      <alignment horizontal="center" vertical="center"/>
    </xf>
    <xf numFmtId="1" fontId="26" fillId="6" borderId="0" xfId="0" applyNumberFormat="1" applyFont="1" applyFill="1" applyAlignment="1">
      <alignment vertical="top"/>
    </xf>
    <xf numFmtId="166" fontId="27" fillId="6" borderId="1" xfId="1" applyNumberFormat="1" applyFont="1" applyFill="1" applyBorder="1" applyAlignment="1">
      <alignment vertical="top"/>
    </xf>
    <xf numFmtId="0" fontId="26" fillId="6" borderId="0" xfId="0" applyFont="1" applyFill="1" applyAlignment="1">
      <alignment horizontal="left" vertical="top"/>
    </xf>
    <xf numFmtId="166" fontId="26" fillId="6" borderId="0" xfId="1" applyNumberFormat="1" applyFont="1" applyFill="1" applyAlignment="1">
      <alignment horizontal="left" vertical="top"/>
    </xf>
    <xf numFmtId="168" fontId="26" fillId="6" borderId="0" xfId="1" applyNumberFormat="1" applyFont="1" applyFill="1" applyAlignment="1">
      <alignment horizontal="left" vertical="top"/>
    </xf>
    <xf numFmtId="166" fontId="26" fillId="6" borderId="0" xfId="1" applyNumberFormat="1" applyFont="1" applyFill="1" applyAlignment="1">
      <alignment vertical="top"/>
    </xf>
    <xf numFmtId="172" fontId="26" fillId="6" borderId="0" xfId="1" applyNumberFormat="1" applyFont="1" applyFill="1" applyAlignment="1">
      <alignment vertical="top"/>
    </xf>
    <xf numFmtId="171" fontId="26" fillId="6" borderId="0" xfId="0" applyNumberFormat="1" applyFont="1" applyFill="1" applyAlignment="1">
      <alignment vertical="top"/>
    </xf>
    <xf numFmtId="164" fontId="26" fillId="6" borderId="0" xfId="1" applyFont="1" applyFill="1" applyAlignment="1">
      <alignment vertical="top"/>
    </xf>
    <xf numFmtId="166" fontId="26" fillId="6" borderId="0" xfId="1" applyNumberFormat="1" applyFont="1" applyFill="1" applyBorder="1" applyAlignment="1">
      <alignment vertical="top"/>
    </xf>
    <xf numFmtId="166" fontId="27" fillId="6" borderId="0" xfId="1" applyNumberFormat="1" applyFont="1" applyFill="1" applyAlignment="1">
      <alignment vertical="top"/>
    </xf>
    <xf numFmtId="10" fontId="26" fillId="5" borderId="8" xfId="4" applyNumberFormat="1" applyFont="1" applyFill="1" applyBorder="1" applyAlignment="1" applyProtection="1">
      <alignment horizontal="right" vertical="top" wrapText="1"/>
    </xf>
    <xf numFmtId="10" fontId="26" fillId="6" borderId="3" xfId="0" applyNumberFormat="1" applyFont="1" applyFill="1" applyBorder="1" applyAlignment="1">
      <alignment vertical="top"/>
    </xf>
    <xf numFmtId="9" fontId="26" fillId="6" borderId="0" xfId="4" applyFont="1" applyFill="1" applyAlignment="1">
      <alignment vertical="top"/>
    </xf>
    <xf numFmtId="174" fontId="26" fillId="6" borderId="0" xfId="0" applyNumberFormat="1" applyFont="1" applyFill="1" applyAlignment="1">
      <alignment vertical="top"/>
    </xf>
    <xf numFmtId="174" fontId="26" fillId="6" borderId="0" xfId="1" applyNumberFormat="1" applyFont="1" applyFill="1" applyBorder="1" applyAlignment="1">
      <alignment vertical="top"/>
    </xf>
    <xf numFmtId="10" fontId="26" fillId="6" borderId="0" xfId="0" applyNumberFormat="1" applyFont="1" applyFill="1" applyAlignment="1">
      <alignment vertical="top"/>
    </xf>
    <xf numFmtId="0" fontId="73" fillId="0" borderId="0" xfId="0" applyFont="1" applyAlignment="1">
      <alignment horizontal="left" vertical="top" wrapText="1"/>
    </xf>
    <xf numFmtId="0" fontId="38" fillId="0" borderId="0" xfId="0" applyFont="1" applyAlignment="1">
      <alignment horizontal="center" vertical="top"/>
    </xf>
    <xf numFmtId="0" fontId="31" fillId="53" borderId="0" xfId="0" applyFont="1" applyFill="1" applyAlignment="1">
      <alignment horizontal="center" vertical="center"/>
    </xf>
    <xf numFmtId="0" fontId="34" fillId="0" borderId="45" xfId="5" applyFont="1" applyBorder="1" applyAlignment="1">
      <alignment horizontal="right" vertical="top" wrapText="1"/>
    </xf>
    <xf numFmtId="0" fontId="31" fillId="0" borderId="0" xfId="0" applyFont="1" applyAlignment="1">
      <alignment horizontal="left" vertical="top" wrapText="1"/>
    </xf>
    <xf numFmtId="0" fontId="24" fillId="3" borderId="46" xfId="0" applyFont="1" applyFill="1" applyBorder="1" applyAlignment="1">
      <alignment vertical="top" wrapText="1"/>
    </xf>
    <xf numFmtId="0" fontId="24" fillId="3" borderId="47" xfId="0" applyFont="1" applyFill="1" applyBorder="1" applyAlignment="1">
      <alignment horizontal="center" vertical="top" wrapText="1"/>
    </xf>
    <xf numFmtId="164" fontId="34" fillId="0" borderId="0" xfId="0" applyNumberFormat="1" applyFont="1" applyAlignment="1">
      <alignment vertical="top"/>
    </xf>
    <xf numFmtId="0" fontId="31" fillId="0" borderId="48" xfId="0" applyFont="1" applyBorder="1" applyAlignment="1">
      <alignment vertical="top"/>
    </xf>
    <xf numFmtId="0" fontId="24" fillId="3" borderId="47" xfId="0" applyFont="1" applyFill="1" applyBorder="1" applyAlignment="1">
      <alignment horizontal="center" vertical="top"/>
    </xf>
    <xf numFmtId="0" fontId="34" fillId="0" borderId="2" xfId="5" applyFont="1" applyBorder="1" applyAlignment="1">
      <alignment horizontal="left" vertical="top" wrapText="1"/>
    </xf>
    <xf numFmtId="0" fontId="21" fillId="0" borderId="0" xfId="0" applyFont="1"/>
    <xf numFmtId="0" fontId="30" fillId="3" borderId="51" xfId="0" applyFont="1" applyFill="1" applyBorder="1"/>
    <xf numFmtId="0" fontId="24" fillId="3" borderId="52" xfId="0" applyFont="1" applyFill="1" applyBorder="1"/>
    <xf numFmtId="0" fontId="24" fillId="3" borderId="50" xfId="0" applyFont="1" applyFill="1" applyBorder="1"/>
    <xf numFmtId="184" fontId="0" fillId="6" borderId="17" xfId="0" applyNumberFormat="1" applyFill="1" applyBorder="1"/>
    <xf numFmtId="184" fontId="0" fillId="6" borderId="18" xfId="0" applyNumberFormat="1" applyFill="1" applyBorder="1"/>
    <xf numFmtId="171" fontId="44" fillId="2" borderId="19" xfId="4" applyNumberFormat="1" applyFont="1" applyFill="1" applyBorder="1"/>
    <xf numFmtId="0" fontId="24" fillId="3" borderId="49" xfId="0" applyFont="1" applyFill="1" applyBorder="1"/>
    <xf numFmtId="164" fontId="31" fillId="0" borderId="0" xfId="4" applyNumberFormat="1" applyFont="1" applyFill="1" applyBorder="1" applyAlignment="1">
      <alignment vertical="top"/>
    </xf>
    <xf numFmtId="0" fontId="34" fillId="0" borderId="46" xfId="5" applyFont="1" applyBorder="1" applyAlignment="1">
      <alignment horizontal="left" vertical="top" wrapText="1"/>
    </xf>
    <xf numFmtId="167" fontId="31" fillId="0" borderId="46" xfId="7" applyNumberFormat="1" applyFont="1" applyFill="1" applyBorder="1">
      <alignment horizontal="left" vertical="top" wrapText="1"/>
    </xf>
    <xf numFmtId="167" fontId="31" fillId="0" borderId="25" xfId="7" applyNumberFormat="1" applyFont="1" applyFill="1" applyBorder="1">
      <alignment horizontal="left" vertical="top" wrapText="1"/>
    </xf>
    <xf numFmtId="167" fontId="31" fillId="0" borderId="23" xfId="7" applyNumberFormat="1" applyFont="1" applyFill="1" applyBorder="1">
      <alignment horizontal="left" vertical="top" wrapText="1"/>
    </xf>
    <xf numFmtId="183" fontId="31" fillId="0" borderId="0" xfId="8" applyNumberFormat="1" applyFont="1" applyBorder="1" applyAlignment="1">
      <alignment horizontal="center" vertical="top" wrapText="1"/>
    </xf>
    <xf numFmtId="0" fontId="20" fillId="6" borderId="0" xfId="0" applyFont="1" applyFill="1" applyAlignment="1">
      <alignment vertical="center"/>
    </xf>
    <xf numFmtId="164" fontId="26" fillId="5" borderId="8" xfId="1" applyFont="1" applyFill="1" applyBorder="1" applyAlignment="1">
      <alignment vertical="top"/>
    </xf>
    <xf numFmtId="0" fontId="18" fillId="6" borderId="0" xfId="0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0" fontId="45" fillId="6" borderId="0" xfId="0" applyFont="1" applyFill="1" applyAlignment="1">
      <alignment vertical="center"/>
    </xf>
    <xf numFmtId="174" fontId="27" fillId="4" borderId="15" xfId="0" applyNumberFormat="1" applyFont="1" applyFill="1" applyBorder="1" applyAlignment="1">
      <alignment vertical="top"/>
    </xf>
    <xf numFmtId="164" fontId="27" fillId="4" borderId="15" xfId="0" applyNumberFormat="1" applyFont="1" applyFill="1" applyBorder="1" applyAlignment="1">
      <alignment vertical="top"/>
    </xf>
    <xf numFmtId="174" fontId="27" fillId="6" borderId="0" xfId="1" applyNumberFormat="1" applyFont="1" applyFill="1" applyBorder="1" applyAlignment="1">
      <alignment vertical="top"/>
    </xf>
    <xf numFmtId="174" fontId="26" fillId="6" borderId="46" xfId="1" applyNumberFormat="1" applyFont="1" applyFill="1" applyBorder="1" applyAlignment="1">
      <alignment vertical="top"/>
    </xf>
    <xf numFmtId="174" fontId="26" fillId="6" borderId="1" xfId="1" applyNumberFormat="1" applyFont="1" applyFill="1" applyBorder="1" applyAlignment="1">
      <alignment vertical="top"/>
    </xf>
    <xf numFmtId="174" fontId="26" fillId="6" borderId="25" xfId="1" applyNumberFormat="1" applyFont="1" applyFill="1" applyBorder="1" applyAlignment="1">
      <alignment vertical="top"/>
    </xf>
    <xf numFmtId="174" fontId="26" fillId="6" borderId="3" xfId="1" applyNumberFormat="1" applyFont="1" applyFill="1" applyBorder="1" applyAlignment="1">
      <alignment vertical="top"/>
    </xf>
    <xf numFmtId="164" fontId="27" fillId="6" borderId="0" xfId="1" applyFont="1" applyFill="1" applyAlignment="1">
      <alignment vertical="top"/>
    </xf>
    <xf numFmtId="164" fontId="0" fillId="6" borderId="0" xfId="0" applyNumberFormat="1" applyFill="1" applyAlignment="1">
      <alignment vertical="center"/>
    </xf>
    <xf numFmtId="174" fontId="26" fillId="6" borderId="16" xfId="0" applyNumberFormat="1" applyFont="1" applyFill="1" applyBorder="1" applyAlignment="1">
      <alignment vertical="top"/>
    </xf>
    <xf numFmtId="174" fontId="26" fillId="6" borderId="24" xfId="0" applyNumberFormat="1" applyFont="1" applyFill="1" applyBorder="1" applyAlignment="1">
      <alignment vertical="top"/>
    </xf>
    <xf numFmtId="164" fontId="26" fillId="6" borderId="0" xfId="0" applyNumberFormat="1" applyFont="1" applyFill="1" applyAlignment="1">
      <alignment vertical="top"/>
    </xf>
    <xf numFmtId="0" fontId="105" fillId="6" borderId="0" xfId="0" applyFont="1" applyFill="1" applyAlignment="1">
      <alignment vertical="center"/>
    </xf>
    <xf numFmtId="185" fontId="26" fillId="6" borderId="0" xfId="0" applyNumberFormat="1" applyFont="1" applyFill="1" applyAlignment="1">
      <alignment vertical="top"/>
    </xf>
    <xf numFmtId="185" fontId="26" fillId="5" borderId="8" xfId="0" applyNumberFormat="1" applyFont="1" applyFill="1" applyBorder="1" applyAlignment="1">
      <alignment vertical="top"/>
    </xf>
    <xf numFmtId="174" fontId="26" fillId="6" borderId="1" xfId="0" applyNumberFormat="1" applyFont="1" applyFill="1" applyBorder="1" applyAlignment="1">
      <alignment vertical="top"/>
    </xf>
    <xf numFmtId="174" fontId="26" fillId="6" borderId="47" xfId="0" applyNumberFormat="1" applyFont="1" applyFill="1" applyBorder="1" applyAlignment="1">
      <alignment vertical="top"/>
    </xf>
    <xf numFmtId="174" fontId="26" fillId="6" borderId="23" xfId="1" applyNumberFormat="1" applyFont="1" applyFill="1" applyBorder="1" applyAlignment="1">
      <alignment vertical="top"/>
    </xf>
    <xf numFmtId="174" fontId="26" fillId="6" borderId="3" xfId="0" applyNumberFormat="1" applyFont="1" applyFill="1" applyBorder="1" applyAlignment="1">
      <alignment vertical="top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7" fillId="0" borderId="0" xfId="0" applyFont="1" applyAlignment="1">
      <alignment vertical="center"/>
    </xf>
    <xf numFmtId="0" fontId="16" fillId="6" borderId="0" xfId="0" applyFont="1" applyFill="1" applyAlignment="1">
      <alignment vertical="center"/>
    </xf>
    <xf numFmtId="166" fontId="26" fillId="5" borderId="19" xfId="1" applyNumberFormat="1" applyFont="1" applyFill="1" applyBorder="1" applyAlignment="1">
      <alignment vertical="top"/>
    </xf>
    <xf numFmtId="0" fontId="36" fillId="0" borderId="0" xfId="0" applyFont="1" applyAlignment="1">
      <alignment vertical="top"/>
    </xf>
    <xf numFmtId="0" fontId="31" fillId="0" borderId="53" xfId="0" applyFont="1" applyBorder="1" applyAlignment="1">
      <alignment vertical="top"/>
    </xf>
    <xf numFmtId="15" fontId="31" fillId="0" borderId="53" xfId="0" applyNumberFormat="1" applyFont="1" applyBorder="1" applyAlignment="1">
      <alignment vertical="top"/>
    </xf>
    <xf numFmtId="0" fontId="21" fillId="0" borderId="0" xfId="50" applyAlignment="1">
      <alignment horizontal="center"/>
    </xf>
    <xf numFmtId="10" fontId="0" fillId="0" borderId="16" xfId="0" applyNumberFormat="1" applyBorder="1"/>
    <xf numFmtId="0" fontId="0" fillId="0" borderId="25" xfId="0" applyBorder="1" applyAlignment="1">
      <alignment horizontal="left"/>
    </xf>
    <xf numFmtId="10" fontId="0" fillId="0" borderId="0" xfId="0" applyNumberFormat="1"/>
    <xf numFmtId="4" fontId="21" fillId="0" borderId="0" xfId="50" applyNumberFormat="1" applyAlignment="1">
      <alignment horizontal="center"/>
    </xf>
    <xf numFmtId="14" fontId="0" fillId="0" borderId="25" xfId="0" applyNumberFormat="1" applyBorder="1" applyAlignment="1">
      <alignment horizontal="center"/>
    </xf>
    <xf numFmtId="10" fontId="0" fillId="0" borderId="53" xfId="4" applyNumberFormat="1" applyFont="1" applyBorder="1"/>
    <xf numFmtId="0" fontId="69" fillId="0" borderId="0" xfId="0" applyFont="1" applyAlignment="1">
      <alignment horizontal="left" vertical="top"/>
    </xf>
    <xf numFmtId="0" fontId="40" fillId="0" borderId="0" xfId="0" applyFont="1" applyAlignment="1">
      <alignment vertical="top" wrapText="1"/>
    </xf>
    <xf numFmtId="0" fontId="63" fillId="0" borderId="0" xfId="0" applyFont="1" applyAlignment="1">
      <alignment vertical="top" wrapText="1"/>
    </xf>
    <xf numFmtId="0" fontId="63" fillId="0" borderId="0" xfId="0" applyFont="1" applyAlignment="1">
      <alignment horizontal="left" vertical="top"/>
    </xf>
    <xf numFmtId="0" fontId="96" fillId="0" borderId="1" xfId="0" applyFont="1" applyBorder="1" applyAlignment="1">
      <alignment vertical="top" wrapText="1"/>
    </xf>
    <xf numFmtId="0" fontId="95" fillId="0" borderId="1" xfId="0" applyFont="1" applyBorder="1" applyAlignment="1">
      <alignment vertical="top" wrapText="1"/>
    </xf>
    <xf numFmtId="0" fontId="15" fillId="0" borderId="0" xfId="0" applyFont="1"/>
    <xf numFmtId="0" fontId="129" fillId="0" borderId="0" xfId="0" applyFont="1"/>
    <xf numFmtId="0" fontId="14" fillId="0" borderId="0" xfId="0" applyFont="1"/>
    <xf numFmtId="168" fontId="45" fillId="0" borderId="0" xfId="0" applyNumberFormat="1" applyFont="1"/>
    <xf numFmtId="0" fontId="45" fillId="54" borderId="0" xfId="0" applyFont="1" applyFill="1"/>
    <xf numFmtId="168" fontId="45" fillId="0" borderId="28" xfId="0" applyNumberFormat="1" applyFont="1" applyBorder="1"/>
    <xf numFmtId="171" fontId="0" fillId="0" borderId="0" xfId="4" applyNumberFormat="1" applyFont="1" applyAlignment="1">
      <alignment vertical="top"/>
    </xf>
    <xf numFmtId="37" fontId="40" fillId="20" borderId="0" xfId="0" applyNumberFormat="1" applyFont="1" applyFill="1" applyAlignment="1">
      <alignment horizontal="right" vertical="center"/>
    </xf>
    <xf numFmtId="37" fontId="100" fillId="0" borderId="0" xfId="0" applyNumberFormat="1" applyFont="1" applyAlignment="1">
      <alignment horizontal="right" vertical="center"/>
    </xf>
    <xf numFmtId="37" fontId="40" fillId="12" borderId="0" xfId="0" applyNumberFormat="1" applyFont="1" applyFill="1" applyAlignment="1">
      <alignment horizontal="right" vertical="center"/>
    </xf>
    <xf numFmtId="0" fontId="13" fillId="0" borderId="0" xfId="0" applyFont="1"/>
    <xf numFmtId="168" fontId="0" fillId="11" borderId="0" xfId="0" applyNumberFormat="1" applyFill="1"/>
    <xf numFmtId="0" fontId="130" fillId="0" borderId="0" xfId="0" applyFont="1"/>
    <xf numFmtId="180" fontId="0" fillId="0" borderId="0" xfId="0" applyNumberFormat="1"/>
    <xf numFmtId="0" fontId="0" fillId="0" borderId="0" xfId="0" applyAlignment="1">
      <alignment horizontal="center" vertical="center"/>
    </xf>
    <xf numFmtId="0" fontId="19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4" fontId="29" fillId="13" borderId="0" xfId="0" applyNumberFormat="1" applyFont="1" applyFill="1" applyAlignment="1">
      <alignment horizontal="center" vertical="center"/>
    </xf>
    <xf numFmtId="0" fontId="102" fillId="0" borderId="0" xfId="0" applyFont="1" applyAlignment="1">
      <alignment horizontal="center" vertical="center" wrapText="1"/>
    </xf>
    <xf numFmtId="0" fontId="92" fillId="0" borderId="0" xfId="0" applyFont="1" applyAlignment="1">
      <alignment vertical="top"/>
    </xf>
    <xf numFmtId="0" fontId="12" fillId="0" borderId="0" xfId="0" applyFont="1"/>
    <xf numFmtId="170" fontId="29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9" fontId="106" fillId="0" borderId="0" xfId="4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77" fontId="106" fillId="0" borderId="0" xfId="0" quotePrefix="1" applyNumberFormat="1" applyFont="1" applyAlignment="1">
      <alignment horizontal="center" vertical="center"/>
    </xf>
    <xf numFmtId="0" fontId="92" fillId="0" borderId="0" xfId="0" applyFont="1" applyAlignment="1">
      <alignment horizontal="center" vertical="center" wrapText="1"/>
    </xf>
    <xf numFmtId="0" fontId="92" fillId="0" borderId="0" xfId="0" applyFont="1" applyAlignment="1">
      <alignment horizontal="center" vertical="center"/>
    </xf>
    <xf numFmtId="0" fontId="129" fillId="0" borderId="0" xfId="0" applyFont="1" applyAlignment="1">
      <alignment horizontal="center" vertical="center"/>
    </xf>
    <xf numFmtId="10" fontId="0" fillId="0" borderId="0" xfId="4" applyNumberFormat="1" applyFont="1" applyFill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10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171" fontId="106" fillId="0" borderId="0" xfId="0" applyNumberFormat="1" applyFont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0" fontId="45" fillId="0" borderId="53" xfId="0" applyFont="1" applyBorder="1" applyAlignment="1">
      <alignment horizontal="center" vertical="center"/>
    </xf>
    <xf numFmtId="0" fontId="45" fillId="0" borderId="0" xfId="0" quotePrefix="1" applyFont="1" applyAlignment="1">
      <alignment horizontal="center" vertical="center"/>
    </xf>
    <xf numFmtId="0" fontId="44" fillId="0" borderId="0" xfId="0" applyFont="1" applyAlignment="1">
      <alignment wrapText="1"/>
    </xf>
    <xf numFmtId="0" fontId="65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4" fillId="0" borderId="0" xfId="0" quotePrefix="1" applyFont="1" applyAlignment="1">
      <alignment horizontal="center" vertical="center"/>
    </xf>
    <xf numFmtId="177" fontId="106" fillId="0" borderId="0" xfId="0" applyNumberFormat="1" applyFont="1" applyAlignment="1">
      <alignment horizontal="center" vertical="center"/>
    </xf>
    <xf numFmtId="177" fontId="45" fillId="0" borderId="0" xfId="0" applyNumberFormat="1" applyFont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4" fontId="106" fillId="0" borderId="0" xfId="0" applyNumberFormat="1" applyFont="1" applyAlignment="1">
      <alignment horizontal="center" vertical="center"/>
    </xf>
    <xf numFmtId="10" fontId="107" fillId="0" borderId="53" xfId="4" applyNumberFormat="1" applyFont="1" applyBorder="1" applyAlignment="1">
      <alignment horizontal="center" vertical="center"/>
    </xf>
    <xf numFmtId="3" fontId="106" fillId="0" borderId="53" xfId="0" applyNumberFormat="1" applyFont="1" applyBorder="1" applyAlignment="1">
      <alignment horizontal="center" vertical="center"/>
    </xf>
    <xf numFmtId="171" fontId="15" fillId="0" borderId="53" xfId="4" applyNumberFormat="1" applyFont="1" applyBorder="1" applyAlignment="1">
      <alignment horizontal="center" vertical="center"/>
    </xf>
    <xf numFmtId="0" fontId="106" fillId="0" borderId="53" xfId="0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wrapText="1"/>
    </xf>
    <xf numFmtId="0" fontId="106" fillId="0" borderId="0" xfId="0" quotePrefix="1" applyFont="1" applyAlignment="1">
      <alignment horizontal="center" vertical="center"/>
    </xf>
    <xf numFmtId="0" fontId="131" fillId="0" borderId="0" xfId="0" applyFont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106" fillId="55" borderId="0" xfId="0" applyFont="1" applyFill="1" applyAlignment="1">
      <alignment horizontal="center" vertical="center"/>
    </xf>
    <xf numFmtId="177" fontId="106" fillId="55" borderId="0" xfId="0" applyNumberFormat="1" applyFont="1" applyFill="1" applyAlignment="1">
      <alignment horizontal="center" vertical="center"/>
    </xf>
    <xf numFmtId="177" fontId="106" fillId="55" borderId="0" xfId="0" quotePrefix="1" applyNumberFormat="1" applyFont="1" applyFill="1" applyAlignment="1">
      <alignment horizontal="center" vertical="center"/>
    </xf>
    <xf numFmtId="10" fontId="107" fillId="0" borderId="53" xfId="4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45" fillId="0" borderId="0" xfId="0" applyFont="1" applyAlignment="1">
      <alignment wrapText="1"/>
    </xf>
    <xf numFmtId="166" fontId="52" fillId="0" borderId="0" xfId="0" applyNumberFormat="1" applyFont="1" applyAlignment="1">
      <alignment horizontal="left" vertical="top" wrapText="1"/>
    </xf>
    <xf numFmtId="0" fontId="81" fillId="0" borderId="0" xfId="0" applyFont="1" applyAlignment="1">
      <alignment wrapText="1"/>
    </xf>
    <xf numFmtId="177" fontId="107" fillId="0" borderId="0" xfId="0" applyNumberFormat="1" applyFont="1" applyAlignment="1">
      <alignment horizontal="center" vertical="center" wrapText="1"/>
    </xf>
    <xf numFmtId="0" fontId="107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65" fillId="0" borderId="0" xfId="0" applyFont="1" applyAlignment="1">
      <alignment wrapText="1"/>
    </xf>
    <xf numFmtId="4" fontId="65" fillId="0" borderId="0" xfId="0" applyNumberFormat="1" applyFont="1" applyAlignment="1">
      <alignment horizontal="center" vertical="center"/>
    </xf>
    <xf numFmtId="0" fontId="9" fillId="0" borderId="0" xfId="0" applyFont="1"/>
    <xf numFmtId="3" fontId="0" fillId="0" borderId="0" xfId="0" applyNumberFormat="1"/>
    <xf numFmtId="0" fontId="45" fillId="0" borderId="53" xfId="0" applyFont="1" applyBorder="1"/>
    <xf numFmtId="0" fontId="0" fillId="0" borderId="53" xfId="0" applyBorder="1"/>
    <xf numFmtId="177" fontId="0" fillId="0" borderId="53" xfId="0" applyNumberFormat="1" applyBorder="1"/>
    <xf numFmtId="0" fontId="45" fillId="0" borderId="48" xfId="0" applyFont="1" applyBorder="1" applyAlignment="1">
      <alignment wrapText="1"/>
    </xf>
    <xf numFmtId="0" fontId="8" fillId="0" borderId="0" xfId="0" applyFont="1" applyAlignment="1">
      <alignment wrapText="1"/>
    </xf>
    <xf numFmtId="37" fontId="40" fillId="56" borderId="0" xfId="0" applyNumberFormat="1" applyFont="1" applyFill="1" applyAlignment="1">
      <alignment horizontal="right" vertical="top"/>
    </xf>
    <xf numFmtId="164" fontId="44" fillId="12" borderId="0" xfId="0" applyNumberFormat="1" applyFont="1" applyFill="1"/>
    <xf numFmtId="0" fontId="26" fillId="12" borderId="0" xfId="0" applyFont="1" applyFill="1"/>
    <xf numFmtId="171" fontId="0" fillId="12" borderId="0" xfId="4" applyNumberFormat="1" applyFont="1" applyFill="1"/>
    <xf numFmtId="171" fontId="0" fillId="20" borderId="0" xfId="4" applyNumberFormat="1" applyFont="1" applyFill="1"/>
    <xf numFmtId="0" fontId="69" fillId="57" borderId="0" xfId="0" applyFont="1" applyFill="1" applyAlignment="1">
      <alignment vertical="top" wrapText="1"/>
    </xf>
    <xf numFmtId="171" fontId="0" fillId="57" borderId="0" xfId="4" applyNumberFormat="1" applyFont="1" applyFill="1"/>
    <xf numFmtId="171" fontId="72" fillId="57" borderId="15" xfId="4" applyNumberFormat="1" applyFont="1" applyFill="1" applyBorder="1"/>
    <xf numFmtId="37" fontId="40" fillId="57" borderId="0" xfId="0" applyNumberFormat="1" applyFont="1" applyFill="1" applyAlignment="1">
      <alignment horizontal="right" vertical="top"/>
    </xf>
    <xf numFmtId="171" fontId="0" fillId="57" borderId="0" xfId="0" applyNumberFormat="1" applyFill="1"/>
    <xf numFmtId="0" fontId="0" fillId="57" borderId="0" xfId="0" applyFill="1"/>
    <xf numFmtId="0" fontId="132" fillId="0" borderId="0" xfId="0" applyFont="1"/>
    <xf numFmtId="9" fontId="132" fillId="0" borderId="0" xfId="0" applyNumberFormat="1" applyFont="1" applyAlignment="1">
      <alignment horizontal="center" vertical="center"/>
    </xf>
    <xf numFmtId="0" fontId="50" fillId="0" borderId="0" xfId="0" applyFont="1"/>
    <xf numFmtId="37" fontId="63" fillId="12" borderId="1" xfId="0" applyNumberFormat="1" applyFont="1" applyFill="1" applyBorder="1" applyAlignment="1">
      <alignment horizontal="right" vertical="top"/>
    </xf>
    <xf numFmtId="37" fontId="40" fillId="0" borderId="54" xfId="0" applyNumberFormat="1" applyFont="1" applyBorder="1" applyAlignment="1">
      <alignment horizontal="right" vertical="top"/>
    </xf>
    <xf numFmtId="0" fontId="133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3" fontId="44" fillId="0" borderId="0" xfId="0" applyNumberFormat="1" applyFont="1" applyAlignment="1">
      <alignment horizontal="center" vertical="center"/>
    </xf>
    <xf numFmtId="0" fontId="135" fillId="0" borderId="0" xfId="0" applyFont="1"/>
    <xf numFmtId="180" fontId="136" fillId="0" borderId="0" xfId="0" applyNumberFormat="1" applyFont="1" applyAlignment="1">
      <alignment vertical="top"/>
    </xf>
    <xf numFmtId="37" fontId="0" fillId="58" borderId="0" xfId="0" applyNumberFormat="1" applyFill="1"/>
    <xf numFmtId="37" fontId="0" fillId="12" borderId="3" xfId="0" applyNumberFormat="1" applyFill="1" applyBorder="1"/>
    <xf numFmtId="37" fontId="45" fillId="12" borderId="0" xfId="0" applyNumberFormat="1" applyFont="1" applyFill="1"/>
    <xf numFmtId="37" fontId="45" fillId="12" borderId="28" xfId="0" applyNumberFormat="1" applyFont="1" applyFill="1" applyBorder="1"/>
    <xf numFmtId="0" fontId="0" fillId="12" borderId="0" xfId="0" applyFill="1" applyAlignment="1">
      <alignment vertical="top"/>
    </xf>
    <xf numFmtId="174" fontId="134" fillId="0" borderId="0" xfId="0" applyNumberFormat="1" applyFont="1" applyAlignment="1">
      <alignment horizontal="right" vertical="top" wrapText="1"/>
    </xf>
    <xf numFmtId="37" fontId="109" fillId="0" borderId="0" xfId="0" applyNumberFormat="1" applyFont="1" applyAlignment="1">
      <alignment horizontal="right" vertical="top"/>
    </xf>
    <xf numFmtId="186" fontId="98" fillId="0" borderId="0" xfId="0" applyNumberFormat="1" applyFont="1" applyAlignment="1">
      <alignment horizontal="right" vertical="top"/>
    </xf>
    <xf numFmtId="0" fontId="6" fillId="0" borderId="0" xfId="0" applyFont="1" applyAlignment="1">
      <alignment wrapText="1"/>
    </xf>
    <xf numFmtId="171" fontId="106" fillId="55" borderId="0" xfId="4" quotePrefix="1" applyNumberFormat="1" applyFont="1" applyFill="1" applyAlignment="1">
      <alignment horizontal="center" vertical="center"/>
    </xf>
    <xf numFmtId="0" fontId="65" fillId="0" borderId="0" xfId="0" applyFont="1" applyAlignment="1">
      <alignment horizontal="left" wrapText="1"/>
    </xf>
    <xf numFmtId="1" fontId="106" fillId="0" borderId="0" xfId="0" applyNumberFormat="1" applyFont="1" applyAlignment="1">
      <alignment horizontal="center" vertical="center"/>
    </xf>
    <xf numFmtId="37" fontId="100" fillId="0" borderId="0" xfId="0" applyNumberFormat="1" applyFont="1" applyAlignment="1">
      <alignment horizontal="right"/>
    </xf>
    <xf numFmtId="168" fontId="0" fillId="12" borderId="0" xfId="1" applyNumberFormat="1" applyFont="1" applyFill="1" applyAlignment="1"/>
    <xf numFmtId="37" fontId="40" fillId="20" borderId="0" xfId="0" applyNumberFormat="1" applyFont="1" applyFill="1" applyAlignment="1">
      <alignment horizontal="right"/>
    </xf>
    <xf numFmtId="0" fontId="56" fillId="58" borderId="0" xfId="0" applyFont="1" applyFill="1"/>
    <xf numFmtId="0" fontId="22" fillId="58" borderId="0" xfId="0" applyFont="1" applyFill="1"/>
    <xf numFmtId="0" fontId="47" fillId="58" borderId="0" xfId="0" applyFont="1" applyFill="1"/>
    <xf numFmtId="0" fontId="63" fillId="58" borderId="0" xfId="0" applyFont="1" applyFill="1" applyAlignment="1">
      <alignment vertical="top"/>
    </xf>
    <xf numFmtId="0" fontId="47" fillId="59" borderId="0" xfId="0" applyFont="1" applyFill="1" applyAlignment="1">
      <alignment horizontal="left"/>
    </xf>
    <xf numFmtId="0" fontId="103" fillId="59" borderId="0" xfId="0" applyFont="1" applyFill="1"/>
    <xf numFmtId="0" fontId="5" fillId="0" borderId="0" xfId="0" applyFont="1"/>
    <xf numFmtId="37" fontId="0" fillId="56" borderId="0" xfId="0" applyNumberFormat="1" applyFill="1"/>
    <xf numFmtId="37" fontId="44" fillId="56" borderId="0" xfId="0" applyNumberFormat="1" applyFont="1" applyFill="1"/>
    <xf numFmtId="37" fontId="0" fillId="0" borderId="3" xfId="0" applyNumberFormat="1" applyBorder="1"/>
    <xf numFmtId="166" fontId="0" fillId="0" borderId="3" xfId="0" applyNumberFormat="1" applyBorder="1"/>
    <xf numFmtId="166" fontId="0" fillId="0" borderId="0" xfId="0" applyNumberFormat="1"/>
    <xf numFmtId="168" fontId="45" fillId="0" borderId="54" xfId="0" applyNumberFormat="1" applyFont="1" applyBorder="1"/>
    <xf numFmtId="37" fontId="0" fillId="12" borderId="54" xfId="0" applyNumberFormat="1" applyFill="1" applyBorder="1"/>
    <xf numFmtId="171" fontId="5" fillId="0" borderId="0" xfId="4" applyNumberFormat="1" applyFont="1"/>
    <xf numFmtId="4" fontId="0" fillId="0" borderId="0" xfId="0" applyNumberFormat="1" applyAlignment="1">
      <alignment horizontal="center" vertical="center"/>
    </xf>
    <xf numFmtId="9" fontId="0" fillId="2" borderId="17" xfId="4" applyFont="1" applyFill="1" applyBorder="1"/>
    <xf numFmtId="0" fontId="0" fillId="0" borderId="23" xfId="0" applyBorder="1" applyAlignment="1">
      <alignment horizontal="center"/>
    </xf>
    <xf numFmtId="0" fontId="21" fillId="0" borderId="3" xfId="50" applyBorder="1" applyAlignment="1">
      <alignment horizontal="center"/>
    </xf>
    <xf numFmtId="10" fontId="0" fillId="0" borderId="24" xfId="0" applyNumberFormat="1" applyBorder="1"/>
    <xf numFmtId="0" fontId="0" fillId="0" borderId="23" xfId="0" applyBorder="1" applyAlignment="1">
      <alignment horizontal="left"/>
    </xf>
    <xf numFmtId="10" fontId="0" fillId="0" borderId="3" xfId="0" applyNumberFormat="1" applyBorder="1"/>
    <xf numFmtId="4" fontId="21" fillId="0" borderId="3" xfId="50" applyNumberFormat="1" applyBorder="1" applyAlignment="1">
      <alignment horizontal="center"/>
    </xf>
    <xf numFmtId="187" fontId="0" fillId="0" borderId="25" xfId="0" applyNumberFormat="1" applyBorder="1" applyAlignment="1">
      <alignment horizontal="left"/>
    </xf>
    <xf numFmtId="0" fontId="0" fillId="0" borderId="25" xfId="0" applyBorder="1"/>
    <xf numFmtId="187" fontId="4" fillId="0" borderId="53" xfId="0" applyNumberFormat="1" applyFont="1" applyBorder="1" applyAlignment="1">
      <alignment horizontal="left"/>
    </xf>
    <xf numFmtId="0" fontId="3" fillId="0" borderId="7" xfId="0" applyFont="1" applyBorder="1" applyAlignment="1">
      <alignment wrapText="1"/>
    </xf>
    <xf numFmtId="167" fontId="31" fillId="0" borderId="1" xfId="8" applyFont="1" applyBorder="1" applyAlignment="1">
      <alignment horizontal="center" vertical="center"/>
    </xf>
    <xf numFmtId="176" fontId="31" fillId="6" borderId="1" xfId="6" applyNumberFormat="1" applyFont="1" applyFill="1" applyBorder="1" applyAlignment="1">
      <alignment horizontal="center" vertical="center" wrapText="1"/>
    </xf>
    <xf numFmtId="167" fontId="31" fillId="6" borderId="0" xfId="6" applyFont="1" applyFill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4" fillId="0" borderId="0" xfId="5" applyFont="1" applyBorder="1" applyAlignment="1">
      <alignment horizontal="center" vertical="center" wrapText="1"/>
    </xf>
    <xf numFmtId="167" fontId="31" fillId="6" borderId="3" xfId="7" applyNumberFormat="1" applyFont="1" applyFill="1" applyBorder="1" applyAlignment="1">
      <alignment horizontal="center" vertical="center" wrapText="1"/>
    </xf>
    <xf numFmtId="167" fontId="31" fillId="0" borderId="0" xfId="7" applyNumberFormat="1" applyFont="1" applyFill="1" applyBorder="1" applyAlignment="1">
      <alignment horizontal="center" vertical="center" wrapText="1"/>
    </xf>
    <xf numFmtId="164" fontId="31" fillId="6" borderId="0" xfId="0" applyNumberFormat="1" applyFont="1" applyFill="1" applyAlignment="1">
      <alignment horizontal="center" vertical="center"/>
    </xf>
    <xf numFmtId="0" fontId="31" fillId="6" borderId="2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112" fillId="0" borderId="0" xfId="0" applyNumberFormat="1" applyFont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15" fontId="38" fillId="57" borderId="53" xfId="0" applyNumberFormat="1" applyFont="1" applyFill="1" applyBorder="1" applyAlignment="1">
      <alignment vertical="top"/>
    </xf>
    <xf numFmtId="4" fontId="113" fillId="0" borderId="53" xfId="0" applyNumberFormat="1" applyFont="1" applyBorder="1" applyAlignment="1">
      <alignment horizontal="center" vertical="center"/>
    </xf>
    <xf numFmtId="15" fontId="31" fillId="57" borderId="53" xfId="0" applyNumberFormat="1" applyFont="1" applyFill="1" applyBorder="1"/>
    <xf numFmtId="4" fontId="112" fillId="0" borderId="53" xfId="0" applyNumberFormat="1" applyFont="1" applyBorder="1" applyAlignment="1">
      <alignment horizontal="center" vertical="center"/>
    </xf>
    <xf numFmtId="4" fontId="38" fillId="0" borderId="53" xfId="0" applyNumberFormat="1" applyFont="1" applyBorder="1" applyAlignment="1">
      <alignment horizontal="center" vertical="center"/>
    </xf>
    <xf numFmtId="0" fontId="41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127" fillId="0" borderId="0" xfId="5" applyFont="1" applyBorder="1" applyAlignment="1">
      <alignment horizontal="center" vertical="center" wrapText="1"/>
    </xf>
    <xf numFmtId="10" fontId="31" fillId="0" borderId="0" xfId="4" applyNumberFormat="1" applyFont="1" applyBorder="1" applyAlignment="1">
      <alignment horizontal="center" vertical="center"/>
    </xf>
    <xf numFmtId="164" fontId="31" fillId="6" borderId="0" xfId="1" applyFont="1" applyFill="1" applyBorder="1" applyAlignment="1">
      <alignment horizontal="center" vertical="center"/>
    </xf>
    <xf numFmtId="164" fontId="31" fillId="6" borderId="21" xfId="1" applyFont="1" applyFill="1" applyBorder="1" applyAlignment="1">
      <alignment horizontal="center" vertical="center"/>
    </xf>
    <xf numFmtId="164" fontId="31" fillId="6" borderId="1" xfId="1" applyFont="1" applyFill="1" applyBorder="1" applyAlignment="1">
      <alignment horizontal="center" vertical="center"/>
    </xf>
    <xf numFmtId="164" fontId="31" fillId="6" borderId="0" xfId="1" applyFont="1" applyFill="1" applyAlignment="1">
      <alignment horizontal="center" vertical="center"/>
    </xf>
    <xf numFmtId="164" fontId="34" fillId="6" borderId="0" xfId="1" applyFont="1" applyFill="1" applyBorder="1" applyAlignment="1">
      <alignment horizontal="center" vertical="center"/>
    </xf>
    <xf numFmtId="9" fontId="113" fillId="0" borderId="53" xfId="0" applyNumberFormat="1" applyFont="1" applyBorder="1" applyAlignment="1">
      <alignment horizontal="center" vertical="center"/>
    </xf>
    <xf numFmtId="9" fontId="38" fillId="0" borderId="53" xfId="0" applyNumberFormat="1" applyFont="1" applyBorder="1" applyAlignment="1">
      <alignment horizontal="center" vertical="center"/>
    </xf>
    <xf numFmtId="0" fontId="73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top"/>
    </xf>
    <xf numFmtId="0" fontId="31" fillId="0" borderId="0" xfId="0" applyFont="1" applyAlignment="1">
      <alignment horizontal="center" vertical="top"/>
    </xf>
    <xf numFmtId="0" fontId="31" fillId="0" borderId="0" xfId="0" applyFont="1" applyAlignment="1">
      <alignment horizontal="center" vertical="top" wrapText="1"/>
    </xf>
    <xf numFmtId="169" fontId="35" fillId="6" borderId="0" xfId="9" applyFont="1" applyFill="1" applyAlignment="1">
      <alignment horizontal="center" vertical="top"/>
    </xf>
    <xf numFmtId="9" fontId="31" fillId="0" borderId="0" xfId="4" applyFont="1" applyFill="1" applyAlignment="1">
      <alignment horizontal="center" vertical="top"/>
    </xf>
    <xf numFmtId="2" fontId="31" fillId="0" borderId="0" xfId="0" applyNumberFormat="1" applyFont="1" applyAlignment="1">
      <alignment horizontal="center" vertical="top"/>
    </xf>
    <xf numFmtId="164" fontId="31" fillId="6" borderId="0" xfId="1" applyFont="1" applyFill="1" applyBorder="1" applyAlignment="1">
      <alignment horizontal="center" vertical="top"/>
    </xf>
    <xf numFmtId="0" fontId="34" fillId="6" borderId="21" xfId="0" applyFont="1" applyFill="1" applyBorder="1" applyAlignment="1">
      <alignment horizontal="center" vertical="top"/>
    </xf>
    <xf numFmtId="171" fontId="31" fillId="6" borderId="1" xfId="4" applyNumberFormat="1" applyFont="1" applyFill="1" applyBorder="1" applyAlignment="1">
      <alignment horizontal="center" vertical="top"/>
    </xf>
    <xf numFmtId="164" fontId="31" fillId="6" borderId="0" xfId="1" applyFont="1" applyFill="1" applyAlignment="1">
      <alignment horizontal="center" vertical="top"/>
    </xf>
    <xf numFmtId="164" fontId="34" fillId="6" borderId="0" xfId="1" applyFont="1" applyFill="1" applyBorder="1" applyAlignment="1">
      <alignment horizontal="center" vertical="top"/>
    </xf>
    <xf numFmtId="0" fontId="31" fillId="6" borderId="0" xfId="0" applyFont="1" applyFill="1" applyAlignment="1">
      <alignment horizontal="center" vertical="top"/>
    </xf>
    <xf numFmtId="9" fontId="38" fillId="0" borderId="0" xfId="0" applyNumberFormat="1" applyFont="1" applyAlignment="1">
      <alignment horizontal="center" vertical="top"/>
    </xf>
    <xf numFmtId="0" fontId="73" fillId="0" borderId="0" xfId="0" applyFont="1" applyAlignment="1">
      <alignment horizontal="center" vertical="top" wrapText="1"/>
    </xf>
    <xf numFmtId="0" fontId="34" fillId="0" borderId="2" xfId="5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7" fontId="31" fillId="6" borderId="0" xfId="3" applyFont="1" applyFill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1" fontId="31" fillId="6" borderId="0" xfId="4" applyNumberFormat="1" applyFont="1" applyFill="1" applyBorder="1" applyAlignment="1">
      <alignment horizontal="center" vertical="center"/>
    </xf>
    <xf numFmtId="171" fontId="31" fillId="6" borderId="0" xfId="4" applyNumberFormat="1" applyFont="1" applyFill="1" applyBorder="1" applyAlignment="1">
      <alignment horizontal="center" vertical="center"/>
    </xf>
    <xf numFmtId="171" fontId="31" fillId="6" borderId="0" xfId="0" applyNumberFormat="1" applyFont="1" applyFill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171" fontId="31" fillId="6" borderId="0" xfId="4" applyNumberFormat="1" applyFont="1" applyFill="1" applyAlignment="1">
      <alignment horizontal="center" vertical="center"/>
    </xf>
    <xf numFmtId="166" fontId="38" fillId="0" borderId="53" xfId="0" applyNumberFormat="1" applyFont="1" applyBorder="1" applyAlignment="1">
      <alignment horizontal="center" vertical="center"/>
    </xf>
    <xf numFmtId="166" fontId="38" fillId="0" borderId="0" xfId="0" applyNumberFormat="1" applyFont="1" applyAlignment="1">
      <alignment horizontal="center" vertical="center"/>
    </xf>
    <xf numFmtId="0" fontId="113" fillId="0" borderId="53" xfId="0" applyFont="1" applyBorder="1" applyAlignment="1">
      <alignment horizontal="center" vertical="center"/>
    </xf>
    <xf numFmtId="2" fontId="38" fillId="0" borderId="53" xfId="0" applyNumberFormat="1" applyFont="1" applyBorder="1" applyAlignment="1">
      <alignment horizontal="center" vertical="center"/>
    </xf>
    <xf numFmtId="0" fontId="38" fillId="0" borderId="53" xfId="0" applyFont="1" applyBorder="1" applyAlignment="1">
      <alignment horizontal="center" vertical="center"/>
    </xf>
    <xf numFmtId="0" fontId="110" fillId="0" borderId="0" xfId="0" applyFont="1" applyAlignment="1">
      <alignment horizontal="center" vertical="center"/>
    </xf>
    <xf numFmtId="49" fontId="31" fillId="0" borderId="0" xfId="2" applyNumberFormat="1" applyFont="1" applyFill="1" applyBorder="1" applyAlignment="1">
      <alignment horizontal="center" vertical="center"/>
    </xf>
    <xf numFmtId="49" fontId="31" fillId="6" borderId="0" xfId="2" applyNumberFormat="1" applyFont="1" applyFill="1" applyBorder="1" applyAlignment="1">
      <alignment horizontal="center" vertical="center"/>
    </xf>
    <xf numFmtId="3" fontId="38" fillId="0" borderId="0" xfId="0" applyNumberFormat="1" applyFont="1" applyAlignment="1">
      <alignment horizontal="center" vertical="center"/>
    </xf>
    <xf numFmtId="0" fontId="34" fillId="0" borderId="47" xfId="5" applyFont="1" applyBorder="1" applyAlignment="1">
      <alignment horizontal="center" vertical="center" wrapText="1"/>
    </xf>
    <xf numFmtId="169" fontId="35" fillId="0" borderId="0" xfId="9" applyFont="1" applyFill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177" fontId="38" fillId="0" borderId="0" xfId="0" applyNumberFormat="1" applyFont="1" applyAlignment="1">
      <alignment horizontal="center" vertical="center"/>
    </xf>
    <xf numFmtId="177" fontId="38" fillId="0" borderId="53" xfId="0" applyNumberFormat="1" applyFont="1" applyBorder="1" applyAlignment="1">
      <alignment horizontal="center" vertical="center"/>
    </xf>
    <xf numFmtId="2" fontId="38" fillId="0" borderId="0" xfId="0" applyNumberFormat="1" applyFont="1" applyAlignment="1">
      <alignment horizontal="center" vertical="center"/>
    </xf>
    <xf numFmtId="1" fontId="38" fillId="0" borderId="0" xfId="0" applyNumberFormat="1" applyFont="1" applyAlignment="1">
      <alignment horizontal="center" vertical="center"/>
    </xf>
    <xf numFmtId="166" fontId="38" fillId="0" borderId="53" xfId="0" applyNumberFormat="1" applyFont="1" applyBorder="1" applyAlignment="1">
      <alignment horizontal="left"/>
    </xf>
    <xf numFmtId="4" fontId="31" fillId="0" borderId="53" xfId="0" applyNumberFormat="1" applyFont="1" applyBorder="1" applyAlignment="1">
      <alignment horizontal="center" vertical="center"/>
    </xf>
    <xf numFmtId="9" fontId="38" fillId="0" borderId="0" xfId="0" applyNumberFormat="1" applyFont="1" applyAlignment="1">
      <alignment horizontal="left" vertical="top"/>
    </xf>
    <xf numFmtId="0" fontId="0" fillId="0" borderId="53" xfId="0" applyBorder="1" applyAlignment="1">
      <alignment horizontal="center" vertical="center"/>
    </xf>
    <xf numFmtId="14" fontId="0" fillId="0" borderId="53" xfId="0" applyNumberFormat="1" applyBorder="1" applyAlignment="1">
      <alignment horizontal="center" vertical="center"/>
    </xf>
    <xf numFmtId="10" fontId="0" fillId="0" borderId="53" xfId="0" applyNumberFormat="1" applyBorder="1"/>
    <xf numFmtId="4" fontId="0" fillId="0" borderId="53" xfId="0" applyNumberFormat="1" applyBorder="1" applyAlignment="1">
      <alignment horizontal="center" vertical="center"/>
    </xf>
    <xf numFmtId="0" fontId="26" fillId="0" borderId="53" xfId="0" applyFont="1" applyBorder="1"/>
    <xf numFmtId="187" fontId="0" fillId="0" borderId="53" xfId="0" applyNumberFormat="1" applyBorder="1" applyAlignment="1">
      <alignment horizontal="center" vertical="center"/>
    </xf>
    <xf numFmtId="14" fontId="0" fillId="0" borderId="53" xfId="0" applyNumberFormat="1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4" fontId="34" fillId="0" borderId="3" xfId="0" applyNumberFormat="1" applyFont="1" applyBorder="1" applyAlignment="1">
      <alignment horizontal="center" vertical="center"/>
    </xf>
    <xf numFmtId="1" fontId="34" fillId="0" borderId="3" xfId="0" applyNumberFormat="1" applyFont="1" applyBorder="1" applyAlignment="1">
      <alignment horizontal="center" vertical="center"/>
    </xf>
    <xf numFmtId="10" fontId="31" fillId="0" borderId="3" xfId="4" applyNumberFormat="1" applyFont="1" applyFill="1" applyBorder="1" applyAlignment="1">
      <alignment horizontal="center" vertical="center"/>
    </xf>
    <xf numFmtId="166" fontId="34" fillId="0" borderId="3" xfId="0" applyNumberFormat="1" applyFont="1" applyBorder="1" applyAlignment="1">
      <alignment horizontal="center" vertical="center"/>
    </xf>
    <xf numFmtId="2" fontId="31" fillId="0" borderId="3" xfId="0" applyNumberFormat="1" applyFont="1" applyBorder="1" applyAlignment="1">
      <alignment horizontal="center" vertical="top"/>
    </xf>
    <xf numFmtId="0" fontId="42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1" xfId="0" applyFont="1" applyBorder="1" applyAlignment="1">
      <alignment vertical="top"/>
    </xf>
    <xf numFmtId="10" fontId="42" fillId="0" borderId="26" xfId="4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10" fontId="35" fillId="0" borderId="47" xfId="4" applyNumberFormat="1" applyFont="1" applyFill="1" applyBorder="1" applyAlignment="1">
      <alignment vertical="center" wrapText="1"/>
    </xf>
    <xf numFmtId="164" fontId="31" fillId="0" borderId="16" xfId="1" applyFont="1" applyFill="1" applyBorder="1" applyAlignment="1">
      <alignment vertical="center"/>
    </xf>
    <xf numFmtId="10" fontId="35" fillId="0" borderId="16" xfId="4" applyNumberFormat="1" applyFont="1" applyFill="1" applyBorder="1" applyAlignment="1">
      <alignment vertical="center"/>
    </xf>
    <xf numFmtId="10" fontId="35" fillId="0" borderId="2" xfId="4" applyNumberFormat="1" applyFont="1" applyFill="1" applyBorder="1" applyAlignment="1">
      <alignment vertical="center"/>
    </xf>
    <xf numFmtId="164" fontId="31" fillId="0" borderId="21" xfId="4" applyNumberFormat="1" applyFont="1" applyFill="1" applyBorder="1" applyAlignment="1">
      <alignment vertical="top"/>
    </xf>
    <xf numFmtId="164" fontId="31" fillId="0" borderId="22" xfId="4" applyNumberFormat="1" applyFont="1" applyFill="1" applyBorder="1" applyAlignment="1">
      <alignment vertical="top"/>
    </xf>
    <xf numFmtId="171" fontId="35" fillId="0" borderId="31" xfId="4" applyNumberFormat="1" applyFont="1" applyFill="1" applyBorder="1" applyAlignment="1">
      <alignment horizontal="right" vertical="top"/>
    </xf>
    <xf numFmtId="171" fontId="35" fillId="0" borderId="8" xfId="4" applyNumberFormat="1" applyFont="1" applyFill="1" applyBorder="1" applyAlignment="1">
      <alignment horizontal="right" vertical="top"/>
    </xf>
    <xf numFmtId="171" fontId="35" fillId="0" borderId="11" xfId="4" applyNumberFormat="1" applyFont="1" applyFill="1" applyBorder="1" applyAlignment="1">
      <alignment horizontal="right" vertical="top"/>
    </xf>
    <xf numFmtId="2" fontId="31" fillId="0" borderId="53" xfId="0" applyNumberFormat="1" applyFont="1" applyBorder="1" applyAlignment="1">
      <alignment horizontal="center" vertical="center"/>
    </xf>
    <xf numFmtId="0" fontId="31" fillId="0" borderId="25" xfId="0" applyFont="1" applyBorder="1"/>
    <xf numFmtId="9" fontId="34" fillId="0" borderId="24" xfId="0" applyNumberFormat="1" applyFont="1" applyBorder="1" applyAlignment="1">
      <alignment horizontal="center" vertical="top"/>
    </xf>
    <xf numFmtId="10" fontId="31" fillId="0" borderId="8" xfId="5" applyNumberFormat="1" applyFont="1" applyBorder="1" applyAlignment="1">
      <alignment horizontal="right" vertical="top" wrapText="1"/>
    </xf>
    <xf numFmtId="10" fontId="35" fillId="0" borderId="8" xfId="4" applyNumberFormat="1" applyFont="1" applyFill="1" applyBorder="1" applyAlignment="1">
      <alignment horizontal="right" vertical="top"/>
    </xf>
    <xf numFmtId="10" fontId="35" fillId="0" borderId="11" xfId="4" applyNumberFormat="1" applyFont="1" applyFill="1" applyBorder="1" applyAlignment="1">
      <alignment horizontal="right" vertical="top"/>
    </xf>
    <xf numFmtId="2" fontId="31" fillId="0" borderId="53" xfId="0" applyNumberFormat="1" applyFont="1" applyBorder="1" applyAlignment="1">
      <alignment vertical="top"/>
    </xf>
    <xf numFmtId="2" fontId="31" fillId="0" borderId="0" xfId="0" applyNumberFormat="1" applyFont="1" applyAlignment="1">
      <alignment vertical="top"/>
    </xf>
    <xf numFmtId="10" fontId="31" fillId="0" borderId="2" xfId="4" applyNumberFormat="1" applyFont="1" applyFill="1" applyBorder="1"/>
    <xf numFmtId="171" fontId="0" fillId="6" borderId="0" xfId="0" applyNumberFormat="1" applyFill="1"/>
    <xf numFmtId="1" fontId="27" fillId="6" borderId="0" xfId="0" applyNumberFormat="1" applyFont="1" applyFill="1" applyAlignment="1">
      <alignment vertical="top"/>
    </xf>
    <xf numFmtId="174" fontId="26" fillId="6" borderId="57" xfId="1" applyNumberFormat="1" applyFont="1" applyFill="1" applyBorder="1" applyAlignment="1">
      <alignment vertical="top"/>
    </xf>
    <xf numFmtId="174" fontId="26" fillId="6" borderId="58" xfId="1" applyNumberFormat="1" applyFont="1" applyFill="1" applyBorder="1" applyAlignment="1">
      <alignment vertical="top"/>
    </xf>
    <xf numFmtId="174" fontId="26" fillId="6" borderId="59" xfId="1" applyNumberFormat="1" applyFont="1" applyFill="1" applyBorder="1" applyAlignment="1">
      <alignment vertical="top"/>
    </xf>
    <xf numFmtId="174" fontId="26" fillId="6" borderId="16" xfId="1" applyNumberFormat="1" applyFont="1" applyFill="1" applyBorder="1" applyAlignment="1">
      <alignment vertical="top"/>
    </xf>
    <xf numFmtId="174" fontId="26" fillId="6" borderId="24" xfId="1" applyNumberFormat="1" applyFont="1" applyFill="1" applyBorder="1" applyAlignment="1">
      <alignment vertical="top"/>
    </xf>
    <xf numFmtId="0" fontId="31" fillId="0" borderId="16" xfId="0" applyFont="1" applyBorder="1"/>
    <xf numFmtId="0" fontId="34" fillId="0" borderId="57" xfId="5" applyFont="1" applyBorder="1" applyAlignment="1">
      <alignment horizontal="left" vertical="top" wrapText="1"/>
    </xf>
    <xf numFmtId="0" fontId="34" fillId="0" borderId="58" xfId="5" applyFont="1" applyBorder="1" applyAlignment="1">
      <alignment horizontal="right" vertical="top" wrapText="1"/>
    </xf>
    <xf numFmtId="0" fontId="34" fillId="0" borderId="58" xfId="5" applyFont="1" applyBorder="1" applyAlignment="1">
      <alignment horizontal="left" vertical="top" wrapText="1"/>
    </xf>
    <xf numFmtId="0" fontId="34" fillId="0" borderId="55" xfId="5" applyFont="1" applyBorder="1" applyAlignment="1">
      <alignment horizontal="right" vertical="top" wrapText="1"/>
    </xf>
    <xf numFmtId="167" fontId="31" fillId="6" borderId="57" xfId="7" applyNumberFormat="1" applyFont="1" applyFill="1" applyBorder="1">
      <alignment horizontal="left" vertical="top" wrapText="1"/>
    </xf>
    <xf numFmtId="171" fontId="35" fillId="0" borderId="58" xfId="4" applyNumberFormat="1" applyFont="1" applyFill="1" applyBorder="1" applyAlignment="1">
      <alignment vertical="top"/>
    </xf>
    <xf numFmtId="0" fontId="31" fillId="6" borderId="58" xfId="7" applyFont="1" applyFill="1" applyBorder="1" applyAlignment="1">
      <alignment horizontal="left" vertical="top"/>
    </xf>
    <xf numFmtId="171" fontId="35" fillId="0" borderId="58" xfId="4" applyNumberFormat="1" applyFont="1" applyFill="1" applyBorder="1" applyAlignment="1">
      <alignment horizontal="right" vertical="top"/>
    </xf>
    <xf numFmtId="171" fontId="35" fillId="0" borderId="16" xfId="4" applyNumberFormat="1" applyFont="1" applyFill="1" applyBorder="1" applyAlignment="1">
      <alignment horizontal="right" vertical="top"/>
    </xf>
    <xf numFmtId="167" fontId="31" fillId="6" borderId="23" xfId="7" applyNumberFormat="1" applyFont="1" applyFill="1" applyBorder="1">
      <alignment horizontal="left" vertical="top" wrapText="1"/>
    </xf>
    <xf numFmtId="171" fontId="35" fillId="0" borderId="3" xfId="4" applyNumberFormat="1" applyFont="1" applyFill="1" applyBorder="1" applyAlignment="1">
      <alignment vertical="top"/>
    </xf>
    <xf numFmtId="0" fontId="31" fillId="6" borderId="3" xfId="7" applyFont="1" applyFill="1" applyBorder="1" applyAlignment="1">
      <alignment horizontal="left" vertical="top"/>
    </xf>
    <xf numFmtId="171" fontId="35" fillId="0" borderId="3" xfId="4" applyNumberFormat="1" applyFont="1" applyFill="1" applyBorder="1" applyAlignment="1">
      <alignment horizontal="right" vertical="top"/>
    </xf>
    <xf numFmtId="171" fontId="35" fillId="0" borderId="24" xfId="4" applyNumberFormat="1" applyFont="1" applyFill="1" applyBorder="1" applyAlignment="1">
      <alignment horizontal="right" vertical="top"/>
    </xf>
    <xf numFmtId="0" fontId="27" fillId="5" borderId="48" xfId="0" applyFont="1" applyFill="1" applyBorder="1" applyAlignment="1">
      <alignment vertical="top"/>
    </xf>
    <xf numFmtId="0" fontId="27" fillId="5" borderId="54" xfId="0" applyFont="1" applyFill="1" applyBorder="1" applyAlignment="1">
      <alignment vertical="top"/>
    </xf>
    <xf numFmtId="173" fontId="27" fillId="5" borderId="55" xfId="1" applyNumberFormat="1" applyFont="1" applyFill="1" applyBorder="1" applyAlignment="1">
      <alignment vertical="top"/>
    </xf>
    <xf numFmtId="10" fontId="26" fillId="6" borderId="16" xfId="4" applyNumberFormat="1" applyFont="1" applyFill="1" applyBorder="1" applyAlignment="1">
      <alignment vertical="top"/>
    </xf>
    <xf numFmtId="175" fontId="26" fillId="6" borderId="60" xfId="1" applyNumberFormat="1" applyFont="1" applyFill="1" applyBorder="1" applyAlignment="1">
      <alignment vertical="top"/>
    </xf>
    <xf numFmtId="174" fontId="26" fillId="6" borderId="58" xfId="0" applyNumberFormat="1" applyFont="1" applyFill="1" applyBorder="1" applyAlignment="1">
      <alignment vertical="top"/>
    </xf>
    <xf numFmtId="174" fontId="26" fillId="6" borderId="59" xfId="0" applyNumberFormat="1" applyFont="1" applyFill="1" applyBorder="1" applyAlignment="1">
      <alignment vertical="top"/>
    </xf>
    <xf numFmtId="175" fontId="26" fillId="6" borderId="61" xfId="1" applyNumberFormat="1" applyFont="1" applyFill="1" applyBorder="1" applyAlignment="1">
      <alignment vertical="top"/>
    </xf>
    <xf numFmtId="175" fontId="26" fillId="6" borderId="56" xfId="1" applyNumberFormat="1" applyFont="1" applyFill="1" applyBorder="1" applyAlignment="1">
      <alignment vertical="top"/>
    </xf>
    <xf numFmtId="174" fontId="27" fillId="6" borderId="0" xfId="0" applyNumberFormat="1" applyFont="1" applyFill="1" applyAlignment="1">
      <alignment vertical="top"/>
    </xf>
    <xf numFmtId="166" fontId="128" fillId="5" borderId="0" xfId="1" applyNumberFormat="1" applyFont="1" applyFill="1" applyBorder="1" applyAlignment="1">
      <alignment horizontal="center" vertical="top"/>
    </xf>
    <xf numFmtId="166" fontId="128" fillId="6" borderId="25" xfId="1" applyNumberFormat="1" applyFont="1" applyFill="1" applyBorder="1" applyAlignment="1">
      <alignment horizontal="center" vertical="top"/>
    </xf>
    <xf numFmtId="164" fontId="26" fillId="5" borderId="62" xfId="1" applyFont="1" applyFill="1" applyBorder="1" applyAlignment="1">
      <alignment vertical="top"/>
    </xf>
    <xf numFmtId="0" fontId="2" fillId="0" borderId="0" xfId="0" applyFont="1" applyAlignment="1">
      <alignment horizontal="center" vertical="center" wrapText="1"/>
    </xf>
    <xf numFmtId="3" fontId="132" fillId="0" borderId="0" xfId="0" applyNumberFormat="1" applyFont="1" applyAlignment="1">
      <alignment horizontal="left" vertical="center" wrapText="1"/>
    </xf>
    <xf numFmtId="0" fontId="108" fillId="0" borderId="0" xfId="0" applyFont="1" applyAlignment="1">
      <alignment horizontal="center" vertical="top"/>
    </xf>
    <xf numFmtId="0" fontId="108" fillId="0" borderId="0" xfId="0" applyFont="1" applyAlignment="1">
      <alignment horizontal="center" vertical="top" wrapText="1"/>
    </xf>
    <xf numFmtId="0" fontId="81" fillId="0" borderId="53" xfId="0" applyFont="1" applyBorder="1" applyAlignment="1">
      <alignment horizontal="center"/>
    </xf>
    <xf numFmtId="0" fontId="102" fillId="0" borderId="0" xfId="0" applyFont="1" applyAlignment="1">
      <alignment horizontal="center" vertical="center" wrapText="1"/>
    </xf>
    <xf numFmtId="0" fontId="92" fillId="0" borderId="48" xfId="0" applyFont="1" applyBorder="1" applyAlignment="1">
      <alignment horizontal="center" wrapText="1"/>
    </xf>
    <xf numFmtId="0" fontId="92" fillId="0" borderId="54" xfId="0" applyFont="1" applyBorder="1" applyAlignment="1">
      <alignment horizontal="center" wrapText="1"/>
    </xf>
    <xf numFmtId="0" fontId="92" fillId="0" borderId="55" xfId="0" applyFont="1" applyBorder="1" applyAlignment="1">
      <alignment horizontal="center" wrapText="1"/>
    </xf>
    <xf numFmtId="0" fontId="10" fillId="0" borderId="48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56" fillId="0" borderId="0" xfId="0" applyFont="1" applyAlignment="1">
      <alignment horizontal="center" wrapText="1"/>
    </xf>
    <xf numFmtId="0" fontId="58" fillId="0" borderId="0" xfId="0" applyFont="1"/>
    <xf numFmtId="0" fontId="56" fillId="0" borderId="0" xfId="0" applyFont="1" applyAlignment="1">
      <alignment horizontal="center"/>
    </xf>
    <xf numFmtId="167" fontId="61" fillId="0" borderId="0" xfId="0" applyNumberFormat="1" applyFont="1" applyAlignment="1">
      <alignment horizontal="center" vertical="top" wrapText="1"/>
    </xf>
    <xf numFmtId="167" fontId="49" fillId="0" borderId="0" xfId="0" applyNumberFormat="1" applyFont="1" applyAlignment="1">
      <alignment horizontal="center" vertical="top" wrapText="1"/>
    </xf>
    <xf numFmtId="0" fontId="50" fillId="0" borderId="0" xfId="0" applyFont="1"/>
    <xf numFmtId="0" fontId="73" fillId="0" borderId="0" xfId="0" applyFont="1" applyAlignment="1">
      <alignment horizontal="left" vertical="top" wrapText="1"/>
    </xf>
    <xf numFmtId="0" fontId="46" fillId="3" borderId="20" xfId="0" applyFont="1" applyFill="1" applyBorder="1" applyAlignment="1">
      <alignment horizontal="center"/>
    </xf>
    <xf numFmtId="0" fontId="46" fillId="3" borderId="21" xfId="0" applyFont="1" applyFill="1" applyBorder="1" applyAlignment="1">
      <alignment horizontal="center"/>
    </xf>
    <xf numFmtId="0" fontId="46" fillId="3" borderId="22" xfId="0" applyFont="1" applyFill="1" applyBorder="1" applyAlignment="1">
      <alignment horizontal="center"/>
    </xf>
    <xf numFmtId="0" fontId="46" fillId="3" borderId="48" xfId="0" applyFont="1" applyFill="1" applyBorder="1" applyAlignment="1">
      <alignment horizontal="center"/>
    </xf>
    <xf numFmtId="0" fontId="46" fillId="3" borderId="54" xfId="0" applyFont="1" applyFill="1" applyBorder="1" applyAlignment="1">
      <alignment horizontal="center"/>
    </xf>
    <xf numFmtId="0" fontId="46" fillId="3" borderId="55" xfId="0" applyFont="1" applyFill="1" applyBorder="1" applyAlignment="1">
      <alignment horizontal="center"/>
    </xf>
    <xf numFmtId="0" fontId="0" fillId="0" borderId="5" xfId="0" applyBorder="1" applyAlignment="1">
      <alignment horizontal="left" wrapText="1"/>
    </xf>
    <xf numFmtId="0" fontId="42" fillId="0" borderId="0" xfId="0" applyFont="1" applyAlignment="1">
      <alignment horizontal="left" vertical="top" wrapText="1"/>
    </xf>
    <xf numFmtId="0" fontId="39" fillId="21" borderId="0" xfId="0" applyFont="1" applyFill="1" applyAlignment="1">
      <alignment horizontal="center" vertical="top"/>
    </xf>
    <xf numFmtId="0" fontId="34" fillId="0" borderId="12" xfId="5" applyFont="1" applyBorder="1" applyAlignment="1">
      <alignment horizontal="center" vertical="top" wrapText="1"/>
    </xf>
    <xf numFmtId="0" fontId="34" fillId="0" borderId="13" xfId="5" applyFont="1" applyBorder="1" applyAlignment="1">
      <alignment horizontal="center" vertical="top" wrapText="1"/>
    </xf>
    <xf numFmtId="0" fontId="34" fillId="0" borderId="14" xfId="5" applyFont="1" applyBorder="1" applyAlignment="1">
      <alignment horizontal="center" vertical="top" wrapText="1"/>
    </xf>
    <xf numFmtId="0" fontId="34" fillId="0" borderId="12" xfId="5" applyFont="1" applyBorder="1" applyAlignment="1">
      <alignment horizontal="left" vertical="top"/>
    </xf>
    <xf numFmtId="0" fontId="34" fillId="0" borderId="14" xfId="5" applyFont="1" applyBorder="1" applyAlignment="1">
      <alignment horizontal="left" vertical="top"/>
    </xf>
    <xf numFmtId="0" fontId="34" fillId="0" borderId="32" xfId="5" applyFont="1" applyBorder="1" applyAlignment="1">
      <alignment horizontal="center" vertical="top" wrapText="1"/>
    </xf>
    <xf numFmtId="0" fontId="34" fillId="0" borderId="33" xfId="5" applyFont="1" applyBorder="1" applyAlignment="1">
      <alignment horizontal="center" vertical="top" wrapText="1"/>
    </xf>
    <xf numFmtId="0" fontId="34" fillId="0" borderId="44" xfId="5" applyFont="1" applyBorder="1" applyAlignment="1">
      <alignment horizontal="center" vertical="top" wrapText="1"/>
    </xf>
    <xf numFmtId="0" fontId="73" fillId="0" borderId="53" xfId="0" applyFont="1" applyBorder="1" applyAlignment="1">
      <alignment horizontal="left" vertical="top" wrapText="1"/>
    </xf>
    <xf numFmtId="0" fontId="73" fillId="0" borderId="53" xfId="0" applyFont="1" applyBorder="1" applyAlignment="1">
      <alignment horizontal="left" vertical="top"/>
    </xf>
    <xf numFmtId="0" fontId="36" fillId="0" borderId="3" xfId="7" applyFont="1" applyFill="1" applyBorder="1">
      <alignment horizontal="left" vertical="top" wrapText="1"/>
    </xf>
    <xf numFmtId="0" fontId="39" fillId="7" borderId="0" xfId="0" applyFont="1" applyFill="1" applyAlignment="1">
      <alignment horizontal="center" vertical="center" wrapText="1"/>
    </xf>
    <xf numFmtId="0" fontId="34" fillId="0" borderId="10" xfId="5" applyFont="1" applyBorder="1" applyAlignment="1">
      <alignment horizontal="center" vertical="top" wrapText="1"/>
    </xf>
    <xf numFmtId="0" fontId="34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0" fillId="3" borderId="3" xfId="0" applyFont="1" applyFill="1" applyBorder="1" applyAlignment="1">
      <alignment horizontal="center" vertical="top"/>
    </xf>
    <xf numFmtId="166" fontId="30" fillId="3" borderId="16" xfId="1" applyNumberFormat="1" applyFont="1" applyFill="1" applyBorder="1" applyAlignment="1">
      <alignment horizontal="center" vertical="center" textRotation="180"/>
    </xf>
  </cellXfs>
  <cellStyles count="52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" xfId="1" builtinId="3"/>
    <cellStyle name="Explanatory Text" xfId="24" builtinId="53" customBuiltin="1"/>
    <cellStyle name="EY1dp" xfId="9" xr:uid="{00000000-0005-0000-0000-000001000000}"/>
    <cellStyle name="EYColumnHeading 3" xfId="5" xr:uid="{00000000-0005-0000-0000-000002000000}"/>
    <cellStyle name="EYNotes" xfId="6" xr:uid="{00000000-0005-0000-0000-000003000000}"/>
    <cellStyle name="EYNotesHeading 3" xfId="8" xr:uid="{00000000-0005-0000-0000-000004000000}"/>
    <cellStyle name="EYnumber 2 2" xfId="2" xr:uid="{00000000-0005-0000-0000-000005000000}"/>
    <cellStyle name="EYSource" xfId="3" xr:uid="{00000000-0005-0000-0000-000006000000}"/>
    <cellStyle name="EYtext" xfId="7" xr:uid="{00000000-0005-0000-0000-000007000000}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50" xr:uid="{9CA7C05D-5F29-4486-82BF-8B42519FD11B}"/>
    <cellStyle name="Note 2" xfId="51" xr:uid="{3B46C1D8-F339-4880-9991-0CE6E47B1544}"/>
    <cellStyle name="Output" xfId="19" builtinId="21" customBuiltin="1"/>
    <cellStyle name="Percent" xfId="4" builtinId="5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23490</xdr:colOff>
      <xdr:row>1</xdr:row>
      <xdr:rowOff>233775</xdr:rowOff>
    </xdr:from>
    <xdr:to>
      <xdr:col>6</xdr:col>
      <xdr:colOff>26370</xdr:colOff>
      <xdr:row>2</xdr:row>
      <xdr:rowOff>1155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2CC554A-3698-4880-A4F8-C51F76E5063C}"/>
                </a:ext>
              </a:extLst>
            </xdr14:cNvPr>
            <xdr14:cNvContentPartPr/>
          </xdr14:nvContentPartPr>
          <xdr14:nvPr macro=""/>
          <xdr14:xfrm>
            <a:off x="7853040" y="433800"/>
            <a:ext cx="2880" cy="36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2CC554A-3698-4880-A4F8-C51F76E5063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844400" y="424800"/>
              <a:ext cx="20520" cy="212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12</xdr:col>
      <xdr:colOff>144555</xdr:colOff>
      <xdr:row>38</xdr:row>
      <xdr:rowOff>397410</xdr:rowOff>
    </xdr:from>
    <xdr:ext cx="42120" cy="21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04003D51-F073-438A-821E-F259E04B9A8E}"/>
                </a:ext>
              </a:extLst>
            </xdr14:cNvPr>
            <xdr14:cNvContentPartPr/>
          </xdr14:nvContentPartPr>
          <xdr14:nvPr macro=""/>
          <xdr14:xfrm>
            <a:off x="9298080" y="835560"/>
            <a:ext cx="42120" cy="216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04003D51-F073-438A-821E-F259E04B9A8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89080" y="826560"/>
              <a:ext cx="59760" cy="392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144555</xdr:colOff>
      <xdr:row>48</xdr:row>
      <xdr:rowOff>397410</xdr:rowOff>
    </xdr:from>
    <xdr:ext cx="42120" cy="21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FF44575-30D5-4986-9EDB-DD9B52A08A5B}"/>
                </a:ext>
              </a:extLst>
            </xdr14:cNvPr>
            <xdr14:cNvContentPartPr/>
          </xdr14:nvContentPartPr>
          <xdr14:nvPr macro=""/>
          <xdr14:xfrm>
            <a:off x="9298080" y="835560"/>
            <a:ext cx="42120" cy="216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DFF44575-30D5-4986-9EDB-DD9B52A08A5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89080" y="826560"/>
              <a:ext cx="59760" cy="392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9T18:19:19.3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0 196 0 0,'0'0'-12'0'0,"-6"9"-20"0"0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9T18:19:19.4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 59 632 0 0,'0'0'93'0'0,"-1"0"0"0"0,1 0-1 0 0,-1 0 1 0 0,1 0 0 0 0,0-1-1 0 0,-1 1 1 0 0,1 0 0 0 0,-1 0 0 0 0,1 0-1 0 0,0-1 1 0 0,-1 1 0 0 0,1 0-1 0 0,0-1 1 0 0,-1 1 0 0 0,1 0 0 0 0,0-1-1 0 0,-1 1 1 0 0,1 0 0 0 0,0-1-1 0 0,0 1 1 0 0,-1 0 0 0 0,1-1 0 0 0,0 1-1 0 0,0-1 1 0 0,0 1 0 0 0,0-1 0 0 0,-1 1-1 0 0,1 0 1 0 0,0-1 0 0 0,0 1-1 0 0,0-1 1 0 0,0 0 0 0 0,13-11 1400 0 0,44-10-732 0 0,-23 9 198 0 0,-34 13-1043 0 0,0 0-1 0 0,1 0 1 0 0,-1-1-1 0 0,1 1 0 0 0,-1 0 1 0 0,0 0-1 0 0,1 0 1 0 0,-1 0-1 0 0,0 0 0 0 0,1 1 1 0 0,-1-1-1 0 0,1 0 1 0 0,-1 0-1 0 0,0 0 0 0 0,1 0 1 0 0,-1 0-1 0 0,0 0 1 0 0,1 1-1 0 0,-1-1 1 0 0,0 0-1 0 0,1 0 0 0 0,-1 0 1 0 0,0 1-1 0 0,1-1 1 0 0,-1 0-1 0 0,0 1 0 0 0,0-1 1 0 0,1 0-1 0 0,-1 0 1 0 0,0 1-1 0 0,0-1 0 0 0,0 0 1 0 0,0 1-1 0 0,1-1 1 0 0,-1 1-1 0 0,0-1 1 0 0,0 0-1 0 0,0 1 0 0 0,0-1 1 0 0,0 0-1 0 0,0 1 1 0 0,0-1-1 0 0,0 1 0 0 0,0-1 1 0 0,0 0-1 0 0,0 1 1 0 0,1 2 284 0 0,0 0-1474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9T18:19:19.4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 59 632 0 0,'0'0'93'0'0,"-1"0"0"0"0,1 0-1 0 0,-1 0 1 0 0,1 0 0 0 0,0-1-1 0 0,-1 1 1 0 0,1 0 0 0 0,-1 0 0 0 0,1 0-1 0 0,0-1 1 0 0,-1 1 0 0 0,1 0-1 0 0,0-1 1 0 0,-1 1 0 0 0,1 0 0 0 0,0-1-1 0 0,-1 1 1 0 0,1 0 0 0 0,0-1-1 0 0,0 1 1 0 0,-1 0 0 0 0,1-1 0 0 0,0 1-1 0 0,0-1 1 0 0,0 1 0 0 0,0-1 0 0 0,-1 1-1 0 0,1 0 1 0 0,0-1 0 0 0,0 1-1 0 0,0-1 1 0 0,0 0 0 0 0,13-11 1400 0 0,44-10-732 0 0,-23 9 198 0 0,-34 13-1043 0 0,0 0-1 0 0,1 0 1 0 0,-1-1-1 0 0,1 1 0 0 0,-1 0 1 0 0,0 0-1 0 0,1 0 1 0 0,-1 0-1 0 0,0 0 0 0 0,1 1 1 0 0,-1-1-1 0 0,1 0 1 0 0,-1 0-1 0 0,0 0 0 0 0,1 0 1 0 0,-1 0-1 0 0,0 0 1 0 0,1 1-1 0 0,-1-1 1 0 0,0 0-1 0 0,1 0 0 0 0,-1 0 1 0 0,0 1-1 0 0,1-1 1 0 0,-1 0-1 0 0,0 1 0 0 0,0-1 1 0 0,1 0-1 0 0,-1 0 1 0 0,0 1-1 0 0,0-1 0 0 0,0 0 1 0 0,0 1-1 0 0,1-1 1 0 0,-1 1-1 0 0,0-1 1 0 0,0 0-1 0 0,0 1 0 0 0,0-1 1 0 0,0 0-1 0 0,0 1 1 0 0,0-1-1 0 0,0 1 0 0 0,0-1 1 0 0,0 0-1 0 0,0 1 1 0 0,1 2 284 0 0,0 0-1474 0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Naela Rushdi" id="{841130BA-664A-46B6-BC87-16B7C1059A10}" userId="1fe7283e5208f321" providerId="Windows Live"/>
  <person displayName="dprathisha02@gmail.com" id="{B25AAA25-8456-497D-9FA6-DD31D0034751}" userId="618f478e4dc3cf4b" providerId="Windows Live"/>
  <person displayName="Rizvana N" id="{D055D16C-8B7B-4FCF-8B85-F45E22ED02F3}" userId="658d539034a071c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1" dT="2026-06-17T10:11:26.57" personId="{841130BA-664A-46B6-BC87-16B7C1059A10}" id="{ABCBEF4F-AE85-4867-8CD8-5CCFAF7904D7}">
    <text>Page 3, ER, 339 million strategic gains and 54 million strategic charges</text>
  </threadedComment>
  <threadedComment ref="D61" dT="2026-06-20T17:41:51.97" personId="{B25AAA25-8456-497D-9FA6-DD31D0034751}" id="{9FD46343-9AD3-420E-A99D-9E1C857B9C34}">
    <text xml:space="preserve">Page 3, ER 1281 million charges from Sale of co. business in Russia and 271 million gains from co. sale of its dynamic yield business
</text>
  </threadedComment>
  <threadedComment ref="F61" dT="2026-06-20T17:45:47.25" personId="{B25AAA25-8456-497D-9FA6-DD31D0034751}" id="{50A47CA0-BFAB-4043-A4FF-67CE7072DF77}">
    <text>Page 3, 221 million restructuring charges and 70 million property sale gains</text>
  </threadedComment>
  <threadedComment ref="G61" dT="2026-06-20T17:46:13.13" personId="{B25AAA25-8456-497D-9FA6-DD31D0034751}" id="{01704222-9957-4BDB-BFA6-E68BA260B0E6}">
    <text>Page 3, ER 229 million restructuring charges</text>
  </threadedComment>
  <threadedComment ref="C66" dT="2026-06-17T10:12:29.85" personId="{841130BA-664A-46B6-BC87-16B7C1059A10}" id="{D4639813-43B2-4575-B4C7-65545000DE49}">
    <text>Page 3, ER, 364 million tax gains</text>
  </threadedComment>
  <threadedComment ref="D66" dT="2026-06-20T17:41:58.69" personId="{B25AAA25-8456-497D-9FA6-DD31D0034751}" id="{35119F5D-0343-4E0E-8983-BFCA595A8917}">
    <text xml:space="preserve">537 million charges from Non Operating Exp. Related to settlement of tax audit </text>
  </threadedComment>
  <threadedComment ref="C100" dT="2026-06-17T06:26:32.10" personId="{D055D16C-8B7B-4FCF-8B85-F45E22ED02F3}" id="{74BEDC02-01FE-486E-A209-305D1B9041EF}">
    <text xml:space="preserve">= Miscellaneous + Lease right-of-use asset
= 4449.5 + 13552.0
= 17985.5 </text>
  </threadedComment>
  <threadedComment ref="D100" dT="2026-06-17T18:16:30.88" personId="{D055D16C-8B7B-4FCF-8B85-F45E22ED02F3}" id="{789C058E-73EB-476A-8FAC-030112ED0F0E}">
    <text>= Miscellaneous + Lease right-of-use asset
4707.2+12565.7
= 17272.9</text>
  </threadedComment>
  <threadedComment ref="E100" dT="2026-06-18T01:29:23.09" personId="{D055D16C-8B7B-4FCF-8B85-F45E22ED02F3}" id="{F220347F-515A-4A43-B8BB-5A739BECB397}">
    <text>= Miscellaneous + Lease right-of-use asset</text>
  </threadedComment>
  <threadedComment ref="F100" dT="2026-06-18T01:36:47.27" personId="{D055D16C-8B7B-4FCF-8B85-F45E22ED02F3}" id="{ECE705D4-F02F-40AD-BA89-F4A9332794AC}">
    <text>= Miscellaneous + Lease right-of-use asset</text>
  </threadedComment>
  <threadedComment ref="G100" dT="2026-06-18T01:46:31.92" personId="{D055D16C-8B7B-4FCF-8B85-F45E22ED02F3}" id="{A0BFF650-0075-4323-9DA0-8EA6EBEF86A4}">
    <text>= Miscellaneous + Lease right-of-use asset</text>
  </threadedComment>
  <threadedComment ref="H100" dT="2026-06-18T01:53:47.41" personId="{D055D16C-8B7B-4FCF-8B85-F45E22ED02F3}" id="{12249A56-41E8-4EAF-8E53-6320950A6EC0}">
    <text>= Miscellaneous + Lease right-of-use asset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Z14" dT="2026-06-30T15:49:52.21" personId="{D055D16C-8B7B-4FCF-8B85-F45E22ED02F3}" id="{76A36519-4A36-4DF7-9288-D8A8E434D91A}">
    <text xml:space="preserve">S&amp;P 500 Historical Data (SPX) - Investing.com </text>
    <extLst>
      <x:ext xmlns:xltc2="http://schemas.microsoft.com/office/spreadsheetml/2020/threadedcomments2" uri="{F7C98A9C-CBB3-438F-8F68-D28B6AF4A901}">
        <xltc2:checksum>593779529</xltc2:checksum>
        <xltc2:hyperlink startIndex="0" length="45" url="https://www.investing.com/indices/us-spx-500-historical-data"/>
      </x:ext>
    </extLs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1" dT="2026-06-30T08:10:56.42" personId="{D055D16C-8B7B-4FCF-8B85-F45E22ED02F3}" id="{DBA04B14-E4D7-43B4-BAD0-D30E103DA348}">
    <text>Source: US 10 Year Treasury Yield - Investing.com as on 30th june 2026</text>
    <extLst>
      <x:ext xmlns:xltc2="http://schemas.microsoft.com/office/spreadsheetml/2020/threadedcomments2" uri="{F7C98A9C-CBB3-438F-8F68-D28B6AF4A901}">
        <xltc2:checksum>3215168974</xltc2:checksum>
        <xltc2:hyperlink startIndex="8" length="41" url="https://www.investing.com/rates-bonds/u.s.-10-year-bond-yield"/>
      </x:ext>
    </extLst>
  </threadedComment>
  <threadedComment ref="D13" dT="2026-06-30T08:15:11.55" personId="{D055D16C-8B7B-4FCF-8B85-F45E22ED02F3}" id="{69FD7113-74AA-4679-866E-0F14BBADDB97}">
    <text>https://view.officeapps.live.com/op/view.aspx?src=https%3A%2F%2Fpages.stern.nyu.edu%2F~adamodar%2Fpc%2Fdatasets%2FctrypremApr26.xlsx&amp;wdOrigin=BROWSELINK - regional breakdown</text>
    <extLst>
      <x:ext xmlns:xltc2="http://schemas.microsoft.com/office/spreadsheetml/2020/threadedcomments2" uri="{F7C98A9C-CBB3-438F-8F68-D28B6AF4A901}">
        <xltc2:checksum>600234324</xltc2:checksum>
        <xltc2:hyperlink startIndex="0" length="152" url="https://view.officeapps.live.com/op/view.aspx?src=https%3A%2F%2Fpages.stern.nyu.edu%2F~adamodar%2Fpc%2Fdatasets%2FctrypremApr26.xlsx&amp;wdOrigin=BROWSELINK"/>
      </x:ext>
    </extLst>
  </threadedComment>
  <threadedComment ref="M43" dT="2026-06-30T16:32:22.42" personId="{D055D16C-8B7B-4FCF-8B85-F45E22ED02F3}" id="{111C6C09-ACA6-432C-ADA0-27365D73B3C6}">
    <text xml:space="preserve">McDonald's Corp.'s Proposed Senior Unsecured Euro | S&amp;P Global Ratings </text>
    <extLst>
      <x:ext xmlns:xltc2="http://schemas.microsoft.com/office/spreadsheetml/2020/threadedcomments2" uri="{F7C98A9C-CBB3-438F-8F68-D28B6AF4A901}">
        <xltc2:checksum>3911798891</xltc2:checksum>
        <xltc2:hyperlink startIndex="0" length="70" url="https://www.spglobal.com/ratings/en/regulatory/article/-/view/type/HTML/id/3528435"/>
      </x:ext>
    </extLs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1" dT="2026-06-30T18:08:24.20" personId="{D055D16C-8B7B-4FCF-8B85-F45E22ED02F3}" id="{A8ADC481-1D6D-402C-ABE8-58CD632FE6E0}">
    <text>Source: Value to Operating Income - Restaurants/Dining</text>
    <extLst>
      <x:ext xmlns:xltc2="http://schemas.microsoft.com/office/spreadsheetml/2020/threadedcomments2" uri="{F7C98A9C-CBB3-438F-8F68-D28B6AF4A901}">
        <xltc2:checksum>2610592392</xltc2:checksum>
        <xltc2:hyperlink startIndex="8" length="25" url="https://pages.stern.nyu.edu/~adamodar/New_Home_Page/datafile/vebitda.html"/>
      </x:ext>
    </extLs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AE4B-181E-48A0-B348-1BAEA912DCFD}">
  <dimension ref="A1:N9"/>
  <sheetViews>
    <sheetView workbookViewId="0">
      <selection activeCell="I9" sqref="I9"/>
    </sheetView>
  </sheetViews>
  <sheetFormatPr defaultRowHeight="14.4"/>
  <cols>
    <col min="1" max="1" width="39.88671875" customWidth="1"/>
    <col min="10" max="10" width="13.88671875" bestFit="1" customWidth="1"/>
  </cols>
  <sheetData>
    <row r="1" spans="1:14">
      <c r="J1" s="53" t="s">
        <v>403</v>
      </c>
    </row>
    <row r="2" spans="1:14">
      <c r="B2" s="440">
        <v>2021</v>
      </c>
      <c r="C2" s="440">
        <v>2022</v>
      </c>
      <c r="D2" s="440">
        <v>2023</v>
      </c>
      <c r="E2" s="440">
        <v>2024</v>
      </c>
      <c r="F2" s="440">
        <v>2025</v>
      </c>
      <c r="G2" s="440">
        <v>2026</v>
      </c>
      <c r="I2" s="440">
        <v>2021</v>
      </c>
      <c r="J2" s="440">
        <v>2022</v>
      </c>
      <c r="K2" s="440">
        <v>2023</v>
      </c>
      <c r="L2" s="440">
        <v>2024</v>
      </c>
      <c r="M2" s="440">
        <v>2025</v>
      </c>
      <c r="N2" s="440">
        <v>2026</v>
      </c>
    </row>
    <row r="3" spans="1:14" ht="28.8">
      <c r="A3" s="443" t="s">
        <v>355</v>
      </c>
      <c r="B3" s="441">
        <f>Raw!C56</f>
        <v>2273.3000000000002</v>
      </c>
      <c r="C3" s="441"/>
      <c r="D3" s="441"/>
      <c r="E3" s="441"/>
      <c r="F3" s="441"/>
      <c r="G3" s="441"/>
      <c r="I3" s="442">
        <f>B3/SUM($B$3:$B$4)*$B$8</f>
        <v>921.54411171147717</v>
      </c>
      <c r="J3" s="441"/>
      <c r="K3" s="441"/>
      <c r="L3" s="441"/>
      <c r="M3" s="441"/>
      <c r="N3" s="441"/>
    </row>
    <row r="4" spans="1:14" ht="28.8">
      <c r="A4" s="443" t="s">
        <v>356</v>
      </c>
      <c r="B4" s="441">
        <f>Raw!C57</f>
        <v>2335</v>
      </c>
      <c r="C4" s="441"/>
      <c r="D4" s="441"/>
      <c r="E4" s="441"/>
      <c r="F4" s="441"/>
      <c r="G4" s="441"/>
      <c r="I4" s="442">
        <f>B4/SUM($B$3:$B$4)*$B$8</f>
        <v>946.55588828852274</v>
      </c>
      <c r="J4" s="441"/>
      <c r="K4" s="441"/>
      <c r="L4" s="441"/>
      <c r="M4" s="441"/>
      <c r="N4" s="441"/>
    </row>
    <row r="8" spans="1:14">
      <c r="A8" s="438" t="s">
        <v>404</v>
      </c>
      <c r="B8">
        <f>Raw!C76</f>
        <v>1868.1</v>
      </c>
      <c r="C8">
        <f>Raw!D76</f>
        <v>1870.6</v>
      </c>
    </row>
    <row r="9" spans="1:14">
      <c r="A9" s="438" t="s">
        <v>405</v>
      </c>
      <c r="B9" s="439">
        <f>Raw!C77</f>
        <v>1530.7</v>
      </c>
      <c r="C9" s="439">
        <f>Raw!D77</f>
        <v>1454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3134-5460-442D-97AA-14164EA491C7}">
  <dimension ref="A2:K152"/>
  <sheetViews>
    <sheetView zoomScaleNormal="100" workbookViewId="0">
      <pane xSplit="1" ySplit="3" topLeftCell="B135" activePane="bottomRight" state="frozen"/>
      <selection pane="topRight" activeCell="B1" sqref="B1"/>
      <selection pane="bottomLeft" activeCell="A4" sqref="A4"/>
      <selection pane="bottomRight" activeCell="J83" sqref="J83"/>
    </sheetView>
  </sheetViews>
  <sheetFormatPr defaultRowHeight="14.4"/>
  <cols>
    <col min="1" max="1" width="62.33203125" customWidth="1"/>
    <col min="2" max="2" width="3.6640625" hidden="1" customWidth="1"/>
    <col min="3" max="3" width="12.44140625" style="375" bestFit="1" customWidth="1"/>
    <col min="4" max="7" width="12.109375" style="375" bestFit="1" customWidth="1"/>
    <col min="8" max="8" width="12.5546875" style="375" customWidth="1"/>
    <col min="9" max="9" width="12.6640625" style="375" bestFit="1" customWidth="1"/>
    <col min="10" max="10" width="41.6640625" bestFit="1" customWidth="1"/>
    <col min="11" max="11" width="12.5546875" bestFit="1" customWidth="1"/>
    <col min="13" max="13" width="8.44140625" bestFit="1" customWidth="1"/>
  </cols>
  <sheetData>
    <row r="2" spans="1:11">
      <c r="A2" s="158" t="s">
        <v>140</v>
      </c>
      <c r="B2" s="130"/>
      <c r="C2" s="385" t="s">
        <v>3</v>
      </c>
      <c r="D2" s="385" t="s">
        <v>3</v>
      </c>
      <c r="E2" s="385" t="s">
        <v>3</v>
      </c>
      <c r="F2" s="385" t="s">
        <v>3</v>
      </c>
      <c r="G2" s="385" t="s">
        <v>3</v>
      </c>
      <c r="H2" s="385">
        <v>3</v>
      </c>
      <c r="I2" s="385">
        <v>3</v>
      </c>
    </row>
    <row r="3" spans="1:11">
      <c r="A3" s="56"/>
      <c r="B3" s="130"/>
      <c r="C3" s="132" t="s">
        <v>4</v>
      </c>
      <c r="D3" s="132" t="s">
        <v>5</v>
      </c>
      <c r="E3" s="132" t="s">
        <v>6</v>
      </c>
      <c r="F3" s="132" t="s">
        <v>7</v>
      </c>
      <c r="G3" s="132" t="s">
        <v>8</v>
      </c>
      <c r="H3" s="381">
        <v>46112</v>
      </c>
      <c r="I3" s="381">
        <v>45747</v>
      </c>
    </row>
    <row r="4" spans="1:11">
      <c r="A4" s="215" t="s">
        <v>198</v>
      </c>
      <c r="B4" s="159"/>
      <c r="C4" s="88"/>
      <c r="D4" s="88"/>
      <c r="E4" s="88"/>
      <c r="F4" s="88"/>
      <c r="G4" s="88"/>
      <c r="H4" s="88"/>
      <c r="I4" s="88"/>
    </row>
    <row r="5" spans="1:11">
      <c r="A5" s="432" t="s">
        <v>139</v>
      </c>
    </row>
    <row r="6" spans="1:11">
      <c r="A6" s="134" t="s">
        <v>313</v>
      </c>
      <c r="C6" s="387">
        <v>9787</v>
      </c>
      <c r="D6" s="387">
        <v>8748</v>
      </c>
      <c r="E6" s="387">
        <v>9742</v>
      </c>
      <c r="F6" s="387">
        <v>15715</v>
      </c>
      <c r="G6" s="387">
        <v>16548</v>
      </c>
      <c r="H6" s="387">
        <v>2317</v>
      </c>
      <c r="I6" s="387">
        <v>2132</v>
      </c>
      <c r="J6" s="117"/>
    </row>
    <row r="7" spans="1:11">
      <c r="A7" s="134" t="s">
        <v>314</v>
      </c>
      <c r="C7" s="387">
        <v>13085</v>
      </c>
      <c r="D7" s="387">
        <v>14106</v>
      </c>
      <c r="E7" s="387">
        <v>15436</v>
      </c>
      <c r="F7" s="387">
        <v>9782</v>
      </c>
      <c r="G7" s="387">
        <v>9690</v>
      </c>
      <c r="H7" s="387">
        <v>4007</v>
      </c>
      <c r="I7" s="387">
        <v>3661</v>
      </c>
      <c r="J7" s="117"/>
    </row>
    <row r="8" spans="1:11">
      <c r="A8" s="134" t="s">
        <v>316</v>
      </c>
      <c r="C8" s="387">
        <v>350</v>
      </c>
      <c r="D8" s="387">
        <v>329</v>
      </c>
      <c r="E8" s="387">
        <v>316</v>
      </c>
      <c r="F8" s="387">
        <v>423</v>
      </c>
      <c r="G8" s="387">
        <v>647</v>
      </c>
      <c r="H8" s="387">
        <v>193</v>
      </c>
      <c r="I8" s="387">
        <v>162</v>
      </c>
      <c r="J8" s="117"/>
    </row>
    <row r="9" spans="1:11">
      <c r="A9" s="139" t="s">
        <v>317</v>
      </c>
      <c r="C9" s="387">
        <f t="shared" ref="C9:I9" si="0">SUM(C6:C8)</f>
        <v>23222</v>
      </c>
      <c r="D9" s="387">
        <f t="shared" si="0"/>
        <v>23183</v>
      </c>
      <c r="E9" s="387">
        <f t="shared" si="0"/>
        <v>25494</v>
      </c>
      <c r="F9" s="387">
        <f t="shared" si="0"/>
        <v>25920</v>
      </c>
      <c r="G9" s="387">
        <f t="shared" si="0"/>
        <v>26885</v>
      </c>
      <c r="H9" s="387">
        <f t="shared" si="0"/>
        <v>6517</v>
      </c>
      <c r="I9" s="387">
        <f t="shared" si="0"/>
        <v>5955</v>
      </c>
      <c r="J9" s="117"/>
    </row>
    <row r="10" spans="1:11" ht="27.6">
      <c r="A10" s="220" t="s">
        <v>26</v>
      </c>
      <c r="C10" s="382" t="s">
        <v>308</v>
      </c>
      <c r="D10" s="382" t="s">
        <v>309</v>
      </c>
      <c r="E10" s="382" t="s">
        <v>310</v>
      </c>
      <c r="F10" s="382" t="s">
        <v>311</v>
      </c>
      <c r="G10" s="382" t="s">
        <v>312</v>
      </c>
      <c r="H10" s="382" t="s">
        <v>414</v>
      </c>
      <c r="I10" s="382" t="s">
        <v>413</v>
      </c>
      <c r="J10" s="117"/>
    </row>
    <row r="11" spans="1:11">
      <c r="A11" s="134"/>
      <c r="C11" s="387"/>
      <c r="D11" s="387"/>
      <c r="E11" s="387"/>
      <c r="F11" s="387"/>
      <c r="G11" s="387"/>
      <c r="H11" s="387"/>
      <c r="I11" s="387"/>
      <c r="J11" s="117"/>
    </row>
    <row r="12" spans="1:11" s="152" customFormat="1">
      <c r="A12" s="160" t="s">
        <v>141</v>
      </c>
      <c r="C12" s="664"/>
      <c r="D12" s="664"/>
      <c r="E12" s="664"/>
      <c r="F12" s="664"/>
      <c r="G12" s="664"/>
      <c r="H12" s="403" t="s">
        <v>298</v>
      </c>
      <c r="I12" s="388"/>
      <c r="J12" s="118"/>
      <c r="K12" s="208"/>
    </row>
    <row r="13" spans="1:11" s="152" customFormat="1">
      <c r="A13" s="134" t="s">
        <v>313</v>
      </c>
      <c r="C13" s="389" t="s">
        <v>318</v>
      </c>
      <c r="D13" s="389" t="s">
        <v>321</v>
      </c>
      <c r="E13" s="389">
        <v>0.12</v>
      </c>
      <c r="F13" s="389">
        <v>0.02</v>
      </c>
      <c r="G13" s="389">
        <v>0.04</v>
      </c>
      <c r="H13" s="389">
        <v>0.03</v>
      </c>
      <c r="I13" s="397"/>
      <c r="J13" s="209"/>
    </row>
    <row r="14" spans="1:11" s="152" customFormat="1">
      <c r="A14" s="134" t="s">
        <v>314</v>
      </c>
      <c r="C14" s="389" t="s">
        <v>319</v>
      </c>
      <c r="D14" s="389" t="s">
        <v>322</v>
      </c>
      <c r="E14" s="389">
        <v>0.09</v>
      </c>
      <c r="F14" s="389">
        <v>0.01</v>
      </c>
      <c r="G14" s="389">
        <v>0.02</v>
      </c>
      <c r="H14" s="389">
        <v>0.05</v>
      </c>
      <c r="I14" s="397"/>
      <c r="J14" s="209"/>
    </row>
    <row r="15" spans="1:11" s="152" customFormat="1">
      <c r="A15" s="431" t="s">
        <v>315</v>
      </c>
      <c r="C15" s="389" t="s">
        <v>319</v>
      </c>
      <c r="D15" s="389">
        <v>0.06</v>
      </c>
      <c r="E15" s="389">
        <v>0.1</v>
      </c>
      <c r="F15" s="389">
        <v>0.01</v>
      </c>
      <c r="G15" s="389">
        <v>0.01</v>
      </c>
      <c r="H15" s="389">
        <v>0.04</v>
      </c>
      <c r="I15" s="397"/>
      <c r="J15" s="209"/>
    </row>
    <row r="16" spans="1:11" s="152" customFormat="1">
      <c r="A16" s="134" t="s">
        <v>316</v>
      </c>
      <c r="C16" s="389" t="s">
        <v>320</v>
      </c>
      <c r="D16" s="389">
        <v>0.03</v>
      </c>
      <c r="E16" s="389">
        <v>0.03</v>
      </c>
      <c r="F16" s="389">
        <v>0.34</v>
      </c>
      <c r="G16" s="389">
        <v>0.52</v>
      </c>
      <c r="H16" s="389">
        <v>0.16</v>
      </c>
      <c r="I16" s="397"/>
      <c r="J16" s="209"/>
    </row>
    <row r="17" spans="1:11" s="152" customFormat="1">
      <c r="A17" s="139" t="s">
        <v>317</v>
      </c>
      <c r="C17" s="389" t="s">
        <v>318</v>
      </c>
      <c r="D17" s="389">
        <v>0.06</v>
      </c>
      <c r="E17" s="389">
        <v>0.1</v>
      </c>
      <c r="F17" s="389">
        <v>0.02</v>
      </c>
      <c r="G17" s="389">
        <v>0.02</v>
      </c>
      <c r="H17" s="389">
        <v>0.04</v>
      </c>
      <c r="I17" s="397"/>
      <c r="J17" s="209"/>
    </row>
    <row r="18" spans="1:11" s="152" customFormat="1" ht="27.6">
      <c r="A18" s="134"/>
      <c r="C18" s="382" t="s">
        <v>308</v>
      </c>
      <c r="D18" s="382" t="s">
        <v>309</v>
      </c>
      <c r="E18" s="382" t="s">
        <v>310</v>
      </c>
      <c r="F18" s="382" t="s">
        <v>311</v>
      </c>
      <c r="G18" s="382" t="s">
        <v>312</v>
      </c>
      <c r="H18" s="382" t="s">
        <v>323</v>
      </c>
      <c r="I18" s="397"/>
      <c r="J18" s="209"/>
    </row>
    <row r="19" spans="1:11" s="152" customFormat="1">
      <c r="A19" s="220"/>
      <c r="C19" s="382"/>
      <c r="D19" s="382"/>
      <c r="E19" s="382"/>
      <c r="F19" s="382"/>
      <c r="G19" s="382"/>
      <c r="H19" s="382"/>
      <c r="I19" s="398"/>
      <c r="J19" s="118"/>
    </row>
    <row r="20" spans="1:11" s="152" customFormat="1">
      <c r="A20" s="160"/>
      <c r="C20" s="382"/>
      <c r="D20" s="382"/>
      <c r="E20" s="382"/>
      <c r="F20" s="382"/>
      <c r="G20" s="382"/>
      <c r="H20" s="382"/>
      <c r="I20" s="392"/>
      <c r="J20" s="118"/>
      <c r="K20" s="118"/>
    </row>
    <row r="21" spans="1:11">
      <c r="A21" s="215" t="s">
        <v>197</v>
      </c>
      <c r="J21" s="117"/>
      <c r="K21" s="117"/>
    </row>
    <row r="22" spans="1:11">
      <c r="A22" s="430" t="s">
        <v>199</v>
      </c>
      <c r="J22" s="117"/>
      <c r="K22" s="117"/>
    </row>
    <row r="23" spans="1:11">
      <c r="A23" s="419" t="s">
        <v>341</v>
      </c>
      <c r="C23" s="410">
        <v>9787.4</v>
      </c>
      <c r="D23" s="387">
        <v>8748.4</v>
      </c>
      <c r="E23" s="387">
        <v>9741.6</v>
      </c>
      <c r="F23" s="387">
        <v>9782</v>
      </c>
      <c r="G23" s="387">
        <v>9690</v>
      </c>
      <c r="H23" s="387">
        <v>2317</v>
      </c>
      <c r="I23" s="397"/>
      <c r="J23" s="117"/>
    </row>
    <row r="24" spans="1:11">
      <c r="A24" s="419" t="s">
        <v>342</v>
      </c>
      <c r="C24" s="410">
        <v>13085.4</v>
      </c>
      <c r="D24" s="387">
        <v>14105.8</v>
      </c>
      <c r="E24" s="387">
        <v>15436.5</v>
      </c>
      <c r="F24" s="387">
        <v>15715</v>
      </c>
      <c r="G24" s="387">
        <v>16548</v>
      </c>
      <c r="H24" s="387">
        <v>4007</v>
      </c>
      <c r="I24" s="408"/>
      <c r="J24" s="117"/>
    </row>
    <row r="25" spans="1:11" s="53" customFormat="1">
      <c r="A25" s="419" t="s">
        <v>343</v>
      </c>
      <c r="B25"/>
      <c r="C25" s="410">
        <v>350.1</v>
      </c>
      <c r="D25" s="387">
        <v>328.4</v>
      </c>
      <c r="E25" s="387">
        <v>315.60000000000002</v>
      </c>
      <c r="F25" s="387">
        <v>423</v>
      </c>
      <c r="G25" s="387">
        <v>647</v>
      </c>
      <c r="H25" s="387">
        <v>193</v>
      </c>
      <c r="I25" s="405"/>
      <c r="J25" s="118"/>
    </row>
    <row r="26" spans="1:11">
      <c r="A26" s="53" t="s">
        <v>137</v>
      </c>
      <c r="C26" s="412">
        <f>C23+C24+C25</f>
        <v>23222.899999999998</v>
      </c>
      <c r="D26" s="390">
        <f>D23+D24+D25</f>
        <v>23182.6</v>
      </c>
      <c r="E26" s="390">
        <f>E23+E24+E25</f>
        <v>25493.699999999997</v>
      </c>
      <c r="F26" s="390">
        <f t="shared" ref="F26:H26" si="1">F23+F24+F25</f>
        <v>25920</v>
      </c>
      <c r="G26" s="390">
        <f t="shared" si="1"/>
        <v>26885</v>
      </c>
      <c r="H26" s="390">
        <f t="shared" si="1"/>
        <v>6517</v>
      </c>
      <c r="I26" s="397"/>
      <c r="J26" s="117"/>
    </row>
    <row r="27" spans="1:11">
      <c r="A27" s="420" t="s">
        <v>344</v>
      </c>
      <c r="C27" s="410">
        <v>3096.8</v>
      </c>
      <c r="D27" s="410">
        <v>2737.3</v>
      </c>
      <c r="E27" s="387">
        <v>3039</v>
      </c>
      <c r="F27" s="387">
        <v>2995</v>
      </c>
      <c r="G27" s="387">
        <v>3006</v>
      </c>
      <c r="H27" s="387">
        <v>0</v>
      </c>
      <c r="I27" s="408"/>
      <c r="J27" s="117"/>
    </row>
    <row r="28" spans="1:11">
      <c r="A28" s="420" t="s">
        <v>345</v>
      </c>
      <c r="C28" s="410">
        <v>2677.2</v>
      </c>
      <c r="D28" s="387">
        <v>2617.4</v>
      </c>
      <c r="E28" s="387">
        <v>2885.8</v>
      </c>
      <c r="F28" s="387">
        <v>2959</v>
      </c>
      <c r="G28" s="387">
        <v>2905</v>
      </c>
      <c r="H28" s="387">
        <v>0</v>
      </c>
      <c r="I28" s="408"/>
      <c r="J28" s="117"/>
    </row>
    <row r="29" spans="1:11">
      <c r="A29" s="420" t="s">
        <v>346</v>
      </c>
      <c r="C29" s="410">
        <v>2273.3000000000002</v>
      </c>
      <c r="D29" s="387">
        <v>2026.2</v>
      </c>
      <c r="E29" s="387">
        <v>2299.3000000000002</v>
      </c>
      <c r="F29" s="387">
        <v>2381</v>
      </c>
      <c r="G29" s="387">
        <v>2358</v>
      </c>
      <c r="H29" s="387">
        <v>2032</v>
      </c>
      <c r="I29" s="408"/>
      <c r="J29" s="117"/>
    </row>
    <row r="30" spans="1:11">
      <c r="A30" s="419" t="s">
        <v>325</v>
      </c>
      <c r="C30" s="410">
        <v>2335</v>
      </c>
      <c r="D30" s="387">
        <v>2349.6999999999998</v>
      </c>
      <c r="E30" s="387">
        <v>2474.6</v>
      </c>
      <c r="F30" s="387">
        <v>2536</v>
      </c>
      <c r="G30" s="387">
        <v>2618</v>
      </c>
      <c r="H30" s="387">
        <v>676</v>
      </c>
      <c r="I30" s="408"/>
      <c r="J30" s="117"/>
    </row>
    <row r="31" spans="1:11">
      <c r="A31" s="420" t="s">
        <v>326</v>
      </c>
      <c r="C31" s="410">
        <v>260.39999999999998</v>
      </c>
      <c r="D31" s="387">
        <v>244.8</v>
      </c>
      <c r="E31" s="387">
        <v>232.5</v>
      </c>
      <c r="F31" s="387">
        <v>339</v>
      </c>
      <c r="G31" s="387">
        <v>564</v>
      </c>
      <c r="H31" s="387">
        <v>166</v>
      </c>
      <c r="I31" s="408"/>
      <c r="J31" s="117"/>
    </row>
    <row r="32" spans="1:11">
      <c r="A32" s="461" t="s">
        <v>418</v>
      </c>
      <c r="C32" s="410"/>
      <c r="D32" s="387"/>
      <c r="E32" s="387"/>
      <c r="F32" s="387"/>
      <c r="G32" s="387"/>
      <c r="H32" s="387"/>
      <c r="I32" s="408"/>
      <c r="J32" s="117"/>
    </row>
    <row r="33" spans="1:10" s="53" customFormat="1">
      <c r="A33" s="462" t="s">
        <v>420</v>
      </c>
      <c r="B33"/>
      <c r="C33" s="425">
        <v>329.7</v>
      </c>
      <c r="D33" s="424">
        <v>370.4</v>
      </c>
      <c r="E33" s="424">
        <v>381.7</v>
      </c>
      <c r="F33" s="424">
        <v>447</v>
      </c>
      <c r="G33" s="424">
        <v>457</v>
      </c>
      <c r="H33" s="424">
        <v>111</v>
      </c>
      <c r="J33" s="661"/>
    </row>
    <row r="34" spans="1:10">
      <c r="A34" s="463" t="s">
        <v>419</v>
      </c>
      <c r="C34" s="410">
        <v>2377.8000000000002</v>
      </c>
      <c r="D34" s="387">
        <v>2492.1999999999998</v>
      </c>
      <c r="E34" s="387">
        <v>2435.1999999999998</v>
      </c>
      <c r="F34" s="387">
        <v>2412</v>
      </c>
      <c r="G34" s="387">
        <v>2583</v>
      </c>
      <c r="H34" s="387">
        <v>648</v>
      </c>
      <c r="I34" s="397"/>
      <c r="J34" s="117"/>
    </row>
    <row r="35" spans="1:10">
      <c r="A35" s="420" t="s">
        <v>327</v>
      </c>
      <c r="C35" s="410">
        <v>-483.3</v>
      </c>
      <c r="D35" s="410">
        <v>973.6</v>
      </c>
      <c r="E35" s="387">
        <v>98.9</v>
      </c>
      <c r="F35" s="387">
        <v>139</v>
      </c>
      <c r="G35" s="387">
        <v>2</v>
      </c>
      <c r="H35" s="421">
        <v>-69</v>
      </c>
      <c r="I35" s="397"/>
      <c r="J35" s="117"/>
    </row>
    <row r="36" spans="1:10">
      <c r="A36" s="53" t="s">
        <v>193</v>
      </c>
      <c r="B36" s="53"/>
      <c r="C36" s="411">
        <f t="shared" ref="C36:H36" si="2">C26-SUM(C27:C35)</f>
        <v>10355.999999999996</v>
      </c>
      <c r="D36" s="411">
        <f t="shared" si="2"/>
        <v>9370.9999999999982</v>
      </c>
      <c r="E36" s="411">
        <f t="shared" si="2"/>
        <v>11646.699999999995</v>
      </c>
      <c r="F36" s="411">
        <f t="shared" si="2"/>
        <v>11712</v>
      </c>
      <c r="G36" s="411">
        <f t="shared" si="2"/>
        <v>12392</v>
      </c>
      <c r="H36" s="411">
        <f t="shared" si="2"/>
        <v>2953</v>
      </c>
    </row>
    <row r="37" spans="1:10">
      <c r="A37" s="420" t="s">
        <v>347</v>
      </c>
      <c r="C37" s="410">
        <v>1185.8</v>
      </c>
      <c r="D37" s="387">
        <v>1207</v>
      </c>
      <c r="E37" s="387">
        <v>1360.8</v>
      </c>
      <c r="F37" s="387">
        <v>1506</v>
      </c>
      <c r="G37" s="387">
        <v>1582</v>
      </c>
      <c r="H37" s="387">
        <v>400</v>
      </c>
      <c r="I37" s="397"/>
      <c r="J37" s="117"/>
    </row>
    <row r="38" spans="1:10" s="53" customFormat="1">
      <c r="A38" s="444" t="s">
        <v>348</v>
      </c>
      <c r="B38"/>
      <c r="C38" s="410">
        <v>42.3</v>
      </c>
      <c r="D38" s="387">
        <v>338.6</v>
      </c>
      <c r="E38" s="387" t="s">
        <v>394</v>
      </c>
      <c r="F38" s="387" t="s">
        <v>395</v>
      </c>
      <c r="G38" s="387" t="s">
        <v>396</v>
      </c>
      <c r="H38" s="387">
        <v>11</v>
      </c>
      <c r="I38" s="406"/>
      <c r="J38" s="118"/>
    </row>
    <row r="39" spans="1:10">
      <c r="A39" s="53" t="s">
        <v>194</v>
      </c>
      <c r="B39" s="53"/>
      <c r="C39" s="411">
        <f>C36-C37-C38</f>
        <v>9127.8999999999978</v>
      </c>
      <c r="D39" s="411">
        <f t="shared" ref="D39:H39" si="3">D36-D37-D38</f>
        <v>7825.3999999999978</v>
      </c>
      <c r="E39" s="411">
        <f t="shared" si="3"/>
        <v>10522.199999999995</v>
      </c>
      <c r="F39" s="411">
        <f t="shared" si="3"/>
        <v>10345</v>
      </c>
      <c r="G39" s="411">
        <f t="shared" si="3"/>
        <v>10897</v>
      </c>
      <c r="H39" s="411">
        <f t="shared" si="3"/>
        <v>2542</v>
      </c>
      <c r="I39" s="464"/>
      <c r="J39" s="117"/>
    </row>
    <row r="40" spans="1:10" s="53" customFormat="1">
      <c r="A40" s="419" t="s">
        <v>138</v>
      </c>
      <c r="B40"/>
      <c r="C40" s="410">
        <v>1582.7</v>
      </c>
      <c r="D40" s="410">
        <v>1648</v>
      </c>
      <c r="E40" s="410">
        <v>2053.4</v>
      </c>
      <c r="F40" s="387">
        <v>2121</v>
      </c>
      <c r="G40" s="387">
        <v>2334</v>
      </c>
      <c r="H40" s="387">
        <v>559</v>
      </c>
      <c r="J40" s="407"/>
    </row>
    <row r="41" spans="1:10">
      <c r="A41" s="53" t="s">
        <v>195</v>
      </c>
      <c r="B41" s="53"/>
      <c r="C41" s="411">
        <f>C39-C40</f>
        <v>7545.199999999998</v>
      </c>
      <c r="D41" s="411">
        <f t="shared" ref="D41:H41" si="4">D39-D40</f>
        <v>6177.3999999999978</v>
      </c>
      <c r="E41" s="411">
        <f t="shared" si="4"/>
        <v>8468.7999999999956</v>
      </c>
      <c r="F41" s="411">
        <f t="shared" si="4"/>
        <v>8224</v>
      </c>
      <c r="G41" s="411">
        <f t="shared" si="4"/>
        <v>8563</v>
      </c>
      <c r="H41" s="411">
        <f t="shared" si="4"/>
        <v>1983</v>
      </c>
      <c r="J41" s="117"/>
    </row>
    <row r="42" spans="1:10" s="53" customFormat="1">
      <c r="A42" s="419" t="s">
        <v>146</v>
      </c>
      <c r="B42"/>
      <c r="C42" s="387">
        <v>0</v>
      </c>
      <c r="D42" s="387">
        <v>0</v>
      </c>
      <c r="E42" s="387">
        <v>0</v>
      </c>
      <c r="F42" s="387">
        <v>0</v>
      </c>
      <c r="G42" s="387">
        <v>0</v>
      </c>
      <c r="H42" s="386">
        <v>0</v>
      </c>
      <c r="J42" s="407"/>
    </row>
    <row r="43" spans="1:10" s="53" customFormat="1">
      <c r="A43" s="430" t="s">
        <v>196</v>
      </c>
      <c r="C43" s="411">
        <f>C41-C42</f>
        <v>7545.199999999998</v>
      </c>
      <c r="D43" s="411">
        <f>D41-D42</f>
        <v>6177.3999999999978</v>
      </c>
      <c r="E43" s="411">
        <f>E41-E42</f>
        <v>8468.7999999999956</v>
      </c>
      <c r="F43" s="411">
        <f t="shared" ref="F43:H43" si="5">F41-F42</f>
        <v>8224</v>
      </c>
      <c r="G43" s="411">
        <f t="shared" si="5"/>
        <v>8563</v>
      </c>
      <c r="H43" s="411">
        <f t="shared" si="5"/>
        <v>1983</v>
      </c>
      <c r="I43" s="398"/>
      <c r="J43" s="118"/>
    </row>
    <row r="44" spans="1:10">
      <c r="A44" s="361" t="s">
        <v>151</v>
      </c>
      <c r="C44" s="387">
        <v>746.3</v>
      </c>
      <c r="D44" s="387">
        <v>736.5</v>
      </c>
      <c r="E44" s="387">
        <v>727.9</v>
      </c>
      <c r="F44" s="387">
        <v>718.3</v>
      </c>
      <c r="G44" s="387">
        <v>713.4</v>
      </c>
      <c r="H44" s="387">
        <v>710.7</v>
      </c>
      <c r="J44" s="117"/>
    </row>
    <row r="45" spans="1:10">
      <c r="A45" s="361" t="s">
        <v>150</v>
      </c>
      <c r="C45" s="387">
        <v>751.8</v>
      </c>
      <c r="D45" s="387">
        <v>741.3</v>
      </c>
      <c r="E45" s="387">
        <v>732.3</v>
      </c>
      <c r="F45" s="387">
        <v>721.9</v>
      </c>
      <c r="G45" s="387">
        <v>716.4</v>
      </c>
      <c r="H45" s="387">
        <v>713.5</v>
      </c>
      <c r="J45" s="117"/>
    </row>
    <row r="46" spans="1:10" ht="27.6">
      <c r="A46" s="220" t="s">
        <v>26</v>
      </c>
      <c r="C46" s="382" t="s">
        <v>324</v>
      </c>
      <c r="D46" s="382" t="s">
        <v>392</v>
      </c>
      <c r="E46" s="382" t="s">
        <v>393</v>
      </c>
      <c r="F46" s="382" t="s">
        <v>398</v>
      </c>
      <c r="G46" s="382" t="s">
        <v>397</v>
      </c>
      <c r="H46" s="382" t="s">
        <v>399</v>
      </c>
      <c r="I46" s="397"/>
      <c r="J46" s="117"/>
    </row>
    <row r="47" spans="1:10">
      <c r="A47" s="220"/>
      <c r="C47" s="382"/>
      <c r="D47" s="382"/>
      <c r="E47" s="382"/>
      <c r="F47" s="382"/>
      <c r="G47" s="382"/>
      <c r="H47" s="382"/>
      <c r="I47" s="397"/>
      <c r="J47" s="117"/>
    </row>
    <row r="48" spans="1:10">
      <c r="I48" s="397"/>
      <c r="J48" s="117"/>
    </row>
    <row r="49" spans="1:10">
      <c r="A49" s="430" t="s">
        <v>200</v>
      </c>
      <c r="I49" s="397"/>
      <c r="J49" s="117"/>
    </row>
    <row r="50" spans="1:10">
      <c r="A50" s="419" t="s">
        <v>349</v>
      </c>
      <c r="B50" s="419"/>
      <c r="C50" s="410">
        <f>C23</f>
        <v>9787.4</v>
      </c>
      <c r="D50" s="387">
        <v>8748.4</v>
      </c>
      <c r="E50" s="387">
        <v>9741.6</v>
      </c>
      <c r="F50" s="387">
        <v>9782</v>
      </c>
      <c r="G50" s="387">
        <v>9690</v>
      </c>
      <c r="H50" s="387">
        <v>2317</v>
      </c>
      <c r="I50" s="397"/>
      <c r="J50" s="117"/>
    </row>
    <row r="51" spans="1:10">
      <c r="A51" s="419" t="s">
        <v>350</v>
      </c>
      <c r="B51" s="419"/>
      <c r="C51" s="410">
        <f>C24</f>
        <v>13085.4</v>
      </c>
      <c r="D51" s="387">
        <v>14105.8</v>
      </c>
      <c r="E51" s="387">
        <v>15436.5</v>
      </c>
      <c r="F51" s="387">
        <v>15715</v>
      </c>
      <c r="G51" s="387">
        <v>16548</v>
      </c>
      <c r="H51" s="387">
        <v>4007</v>
      </c>
      <c r="I51" s="408"/>
      <c r="J51" s="117"/>
    </row>
    <row r="52" spans="1:10">
      <c r="A52" s="419" t="s">
        <v>351</v>
      </c>
      <c r="B52" s="244"/>
      <c r="C52" s="410">
        <f>C25</f>
        <v>350.1</v>
      </c>
      <c r="D52" s="387">
        <v>328.4</v>
      </c>
      <c r="E52" s="387">
        <v>315.60000000000002</v>
      </c>
      <c r="F52" s="387">
        <v>423</v>
      </c>
      <c r="G52" s="387">
        <v>647</v>
      </c>
      <c r="H52" s="387">
        <v>193</v>
      </c>
      <c r="I52" s="409"/>
      <c r="J52" s="117"/>
    </row>
    <row r="53" spans="1:10">
      <c r="A53" s="53" t="s">
        <v>352</v>
      </c>
      <c r="B53" s="53"/>
      <c r="C53" s="390">
        <f>SUM(C50:C52)</f>
        <v>23222.899999999998</v>
      </c>
      <c r="D53" s="390">
        <f>D50+D51+D52</f>
        <v>23182.6</v>
      </c>
      <c r="E53" s="390">
        <f>E50+E51+E52</f>
        <v>25493.699999999997</v>
      </c>
      <c r="F53" s="390">
        <f t="shared" ref="F53:H53" si="6">F50+F51+F52</f>
        <v>25920</v>
      </c>
      <c r="G53" s="390">
        <f t="shared" si="6"/>
        <v>26885</v>
      </c>
      <c r="H53" s="390">
        <f t="shared" si="6"/>
        <v>6517</v>
      </c>
      <c r="I53" s="397"/>
      <c r="J53" s="117"/>
    </row>
    <row r="54" spans="1:10">
      <c r="A54" s="420" t="s">
        <v>353</v>
      </c>
      <c r="B54" s="419"/>
      <c r="C54" s="410">
        <f>C27</f>
        <v>3096.8</v>
      </c>
      <c r="D54" s="410">
        <v>2737.3</v>
      </c>
      <c r="E54" s="387">
        <v>3039</v>
      </c>
      <c r="F54" s="387">
        <v>2995</v>
      </c>
      <c r="G54" s="387">
        <v>3006</v>
      </c>
      <c r="H54" s="387">
        <v>0</v>
      </c>
      <c r="I54" s="397"/>
      <c r="J54" s="117"/>
    </row>
    <row r="55" spans="1:10">
      <c r="A55" s="420" t="s">
        <v>354</v>
      </c>
      <c r="B55" s="244"/>
      <c r="C55" s="410">
        <f>C28</f>
        <v>2677.2</v>
      </c>
      <c r="D55" s="387">
        <v>2617.4</v>
      </c>
      <c r="E55" s="387">
        <v>2885.8</v>
      </c>
      <c r="F55" s="387">
        <v>2959</v>
      </c>
      <c r="G55" s="387">
        <v>2905</v>
      </c>
      <c r="H55" s="387">
        <v>0</v>
      </c>
      <c r="I55" s="397"/>
      <c r="J55" s="117"/>
    </row>
    <row r="56" spans="1:10">
      <c r="A56" s="420" t="s">
        <v>355</v>
      </c>
      <c r="B56" s="419"/>
      <c r="C56" s="410">
        <f>C29</f>
        <v>2273.3000000000002</v>
      </c>
      <c r="D56" s="387">
        <v>2026.2</v>
      </c>
      <c r="E56" s="387">
        <v>2299.3000000000002</v>
      </c>
      <c r="F56" s="387">
        <v>2381</v>
      </c>
      <c r="G56" s="387">
        <v>2358</v>
      </c>
      <c r="H56" s="387">
        <v>2032</v>
      </c>
      <c r="I56" s="397"/>
      <c r="J56" s="117"/>
    </row>
    <row r="57" spans="1:10">
      <c r="A57" s="420" t="s">
        <v>356</v>
      </c>
      <c r="B57" s="419"/>
      <c r="C57" s="410">
        <f>C30</f>
        <v>2335</v>
      </c>
      <c r="D57" s="387">
        <v>2349.6999999999998</v>
      </c>
      <c r="E57" s="387">
        <v>2474.6</v>
      </c>
      <c r="F57" s="387">
        <v>2536</v>
      </c>
      <c r="G57" s="387">
        <v>2618</v>
      </c>
      <c r="H57" s="387">
        <v>676</v>
      </c>
      <c r="I57" s="397"/>
      <c r="J57" s="117"/>
    </row>
    <row r="58" spans="1:10">
      <c r="A58" s="420" t="s">
        <v>357</v>
      </c>
      <c r="B58" s="419"/>
      <c r="C58" s="410">
        <f>C31</f>
        <v>260.39999999999998</v>
      </c>
      <c r="D58" s="387">
        <v>244.8</v>
      </c>
      <c r="E58" s="387">
        <v>232.5</v>
      </c>
      <c r="F58" s="387">
        <v>339</v>
      </c>
      <c r="G58" s="387">
        <v>564</v>
      </c>
      <c r="H58" s="387">
        <v>166</v>
      </c>
      <c r="I58" s="397"/>
      <c r="J58" s="117"/>
    </row>
    <row r="59" spans="1:10">
      <c r="A59" s="419" t="s">
        <v>358</v>
      </c>
      <c r="B59" s="419"/>
      <c r="C59" s="425">
        <f>C33</f>
        <v>329.7</v>
      </c>
      <c r="D59" s="424">
        <v>370.4</v>
      </c>
      <c r="E59" s="424">
        <v>381.7</v>
      </c>
      <c r="F59" s="424">
        <v>447</v>
      </c>
      <c r="G59" s="424">
        <v>457</v>
      </c>
      <c r="H59" s="424">
        <v>111</v>
      </c>
      <c r="I59" s="397"/>
      <c r="J59" s="117"/>
    </row>
    <row r="60" spans="1:10">
      <c r="A60" s="420" t="s">
        <v>359</v>
      </c>
      <c r="B60" s="244"/>
      <c r="C60" s="410">
        <f>C34</f>
        <v>2377.8000000000002</v>
      </c>
      <c r="D60" s="387">
        <v>2492.1999999999998</v>
      </c>
      <c r="E60" s="387">
        <v>2435.1999999999998</v>
      </c>
      <c r="F60" s="387">
        <v>2412</v>
      </c>
      <c r="G60" s="387">
        <v>2583</v>
      </c>
      <c r="H60" s="387">
        <v>648</v>
      </c>
      <c r="I60" s="397"/>
      <c r="J60" s="117"/>
    </row>
    <row r="61" spans="1:10">
      <c r="A61" s="420" t="s">
        <v>360</v>
      </c>
      <c r="B61" s="419"/>
      <c r="C61" s="410">
        <f>C35-339+54</f>
        <v>-768.3</v>
      </c>
      <c r="D61" s="410">
        <f>D35+1281-271</f>
        <v>1983.6</v>
      </c>
      <c r="E61" s="387">
        <f>E35+290</f>
        <v>388.9</v>
      </c>
      <c r="F61" s="387">
        <f>F35+221+70</f>
        <v>430</v>
      </c>
      <c r="G61" s="387">
        <f>G35+229</f>
        <v>231</v>
      </c>
      <c r="H61" s="387">
        <f>H35+47</f>
        <v>-22</v>
      </c>
      <c r="I61" s="397"/>
      <c r="J61" s="117"/>
    </row>
    <row r="62" spans="1:10">
      <c r="A62" s="53" t="s">
        <v>361</v>
      </c>
      <c r="B62" s="244"/>
      <c r="C62" s="412">
        <f>C53-SUM(C54:C61)</f>
        <v>10640.999999999996</v>
      </c>
      <c r="D62" s="412">
        <f t="shared" ref="D62:H62" si="7">D53-SUM(D54:D61)</f>
        <v>8360.9999999999982</v>
      </c>
      <c r="E62" s="412">
        <f t="shared" si="7"/>
        <v>11356.699999999995</v>
      </c>
      <c r="F62" s="412">
        <f t="shared" si="7"/>
        <v>11421</v>
      </c>
      <c r="G62" s="412">
        <f t="shared" si="7"/>
        <v>12163</v>
      </c>
      <c r="H62" s="412">
        <f t="shared" si="7"/>
        <v>2906</v>
      </c>
      <c r="I62" s="397"/>
      <c r="J62" s="117"/>
    </row>
    <row r="63" spans="1:10">
      <c r="A63" s="420" t="s">
        <v>362</v>
      </c>
      <c r="B63" s="419"/>
      <c r="C63" s="410">
        <f>C37</f>
        <v>1185.8</v>
      </c>
      <c r="D63" s="387">
        <v>1207</v>
      </c>
      <c r="E63" s="387">
        <v>1360.8</v>
      </c>
      <c r="F63" s="387">
        <v>1506</v>
      </c>
      <c r="G63" s="387">
        <v>1582</v>
      </c>
      <c r="H63" s="387">
        <v>400</v>
      </c>
      <c r="I63" s="397"/>
      <c r="J63" s="117"/>
    </row>
    <row r="64" spans="1:10">
      <c r="A64" s="420" t="s">
        <v>363</v>
      </c>
      <c r="B64" s="244"/>
      <c r="C64" s="410">
        <f>C38</f>
        <v>42.3</v>
      </c>
      <c r="D64" s="387">
        <v>338.6</v>
      </c>
      <c r="E64" s="387" t="s">
        <v>394</v>
      </c>
      <c r="F64" s="387" t="s">
        <v>395</v>
      </c>
      <c r="G64" s="387" t="s">
        <v>396</v>
      </c>
      <c r="H64" s="387">
        <v>11</v>
      </c>
      <c r="I64" s="397"/>
      <c r="J64" s="117"/>
    </row>
    <row r="65" spans="1:11" s="53" customFormat="1">
      <c r="A65" s="53" t="s">
        <v>364</v>
      </c>
      <c r="B65"/>
      <c r="C65" s="411">
        <f>C62-C63-C64</f>
        <v>9412.8999999999978</v>
      </c>
      <c r="D65" s="411">
        <f t="shared" ref="D65:H65" si="8">D62-D63-D64</f>
        <v>6815.3999999999978</v>
      </c>
      <c r="E65" s="411">
        <f t="shared" si="8"/>
        <v>10232.199999999995</v>
      </c>
      <c r="F65" s="411">
        <f t="shared" si="8"/>
        <v>10054</v>
      </c>
      <c r="G65" s="411">
        <f t="shared" si="8"/>
        <v>10668</v>
      </c>
      <c r="H65" s="411">
        <f t="shared" si="8"/>
        <v>2495</v>
      </c>
      <c r="I65" s="398"/>
      <c r="J65" s="118"/>
    </row>
    <row r="66" spans="1:11">
      <c r="A66" s="419" t="s">
        <v>365</v>
      </c>
      <c r="B66" s="163"/>
      <c r="C66" s="410">
        <f>C40+364</f>
        <v>1946.7</v>
      </c>
      <c r="D66" s="433">
        <f>D40-537</f>
        <v>1111</v>
      </c>
      <c r="E66" s="434">
        <v>2053.4</v>
      </c>
      <c r="F66" s="434">
        <v>2121</v>
      </c>
      <c r="G66" s="434">
        <v>2334</v>
      </c>
      <c r="H66" s="434">
        <v>559</v>
      </c>
      <c r="I66" s="397"/>
      <c r="J66" s="117"/>
    </row>
    <row r="67" spans="1:11" s="163" customFormat="1">
      <c r="A67" s="53" t="s">
        <v>366</v>
      </c>
      <c r="C67" s="411">
        <f>C65-C66</f>
        <v>7466.199999999998</v>
      </c>
      <c r="D67" s="411">
        <f t="shared" ref="D67:H67" si="9">D65-D66</f>
        <v>5704.3999999999978</v>
      </c>
      <c r="E67" s="411">
        <f t="shared" si="9"/>
        <v>8178.7999999999956</v>
      </c>
      <c r="F67" s="411">
        <f t="shared" si="9"/>
        <v>7933</v>
      </c>
      <c r="G67" s="411">
        <f t="shared" si="9"/>
        <v>8334</v>
      </c>
      <c r="H67" s="411">
        <f t="shared" si="9"/>
        <v>1936</v>
      </c>
      <c r="I67" s="399"/>
      <c r="J67" s="210"/>
    </row>
    <row r="68" spans="1:11" s="163" customFormat="1">
      <c r="A68" s="419" t="s">
        <v>367</v>
      </c>
      <c r="C68" s="422">
        <v>0</v>
      </c>
      <c r="D68" s="382">
        <v>0</v>
      </c>
      <c r="E68" s="382">
        <v>0</v>
      </c>
      <c r="F68" s="382">
        <v>0</v>
      </c>
      <c r="G68" s="396">
        <v>0</v>
      </c>
      <c r="H68" s="382">
        <v>0</v>
      </c>
      <c r="I68" s="399"/>
      <c r="J68" s="210"/>
    </row>
    <row r="69" spans="1:11" s="163" customFormat="1">
      <c r="A69" s="430" t="s">
        <v>368</v>
      </c>
      <c r="B69"/>
      <c r="C69" s="411">
        <f>C67-C68</f>
        <v>7466.199999999998</v>
      </c>
      <c r="D69" s="411">
        <f t="shared" ref="D69:H69" si="10">D67-D68</f>
        <v>5704.3999999999978</v>
      </c>
      <c r="E69" s="411">
        <f t="shared" si="10"/>
        <v>8178.7999999999956</v>
      </c>
      <c r="F69" s="411">
        <f t="shared" si="10"/>
        <v>7933</v>
      </c>
      <c r="G69" s="411">
        <f t="shared" si="10"/>
        <v>8334</v>
      </c>
      <c r="H69" s="411">
        <f t="shared" si="10"/>
        <v>1936</v>
      </c>
      <c r="I69" s="399"/>
      <c r="J69" s="210"/>
    </row>
    <row r="70" spans="1:11" s="163" customFormat="1">
      <c r="A70" s="419" t="s">
        <v>369</v>
      </c>
      <c r="B70"/>
      <c r="C70" s="422">
        <v>746.3</v>
      </c>
      <c r="D70" s="387">
        <v>736.5</v>
      </c>
      <c r="E70" s="387">
        <v>727.9</v>
      </c>
      <c r="F70" s="387">
        <v>718.3</v>
      </c>
      <c r="G70" s="387">
        <v>713.4</v>
      </c>
      <c r="H70" s="387">
        <v>710.7</v>
      </c>
      <c r="I70" s="399"/>
      <c r="J70" s="210"/>
    </row>
    <row r="71" spans="1:11" s="163" customFormat="1">
      <c r="A71" s="423" t="s">
        <v>370</v>
      </c>
      <c r="B71"/>
      <c r="C71" s="422">
        <f>C45</f>
        <v>751.8</v>
      </c>
      <c r="D71" s="387">
        <v>741.3</v>
      </c>
      <c r="E71" s="387">
        <v>732.3</v>
      </c>
      <c r="F71" s="387">
        <v>721.9</v>
      </c>
      <c r="G71" s="387">
        <v>716.4</v>
      </c>
      <c r="H71" s="387">
        <v>713.5</v>
      </c>
      <c r="I71" s="399"/>
      <c r="J71" s="210"/>
    </row>
    <row r="72" spans="1:11" s="163" customFormat="1" ht="27.6">
      <c r="A72" s="220" t="s">
        <v>371</v>
      </c>
      <c r="B72"/>
      <c r="C72" s="382" t="s">
        <v>328</v>
      </c>
      <c r="D72" s="382"/>
      <c r="E72" s="382"/>
      <c r="F72" s="382"/>
      <c r="G72" s="396"/>
      <c r="H72" s="382"/>
      <c r="I72" s="399"/>
      <c r="J72" s="210"/>
    </row>
    <row r="73" spans="1:11" s="163" customFormat="1">
      <c r="A73" s="220"/>
      <c r="C73" s="382"/>
      <c r="D73" s="382"/>
      <c r="E73" s="382"/>
      <c r="F73" s="382"/>
      <c r="G73" s="396"/>
      <c r="H73" s="382"/>
      <c r="I73" s="399"/>
      <c r="J73" s="210"/>
    </row>
    <row r="74" spans="1:11" s="163" customFormat="1">
      <c r="A74" s="162"/>
      <c r="C74" s="382"/>
      <c r="D74" s="382"/>
      <c r="E74" s="382"/>
      <c r="F74" s="382"/>
      <c r="G74" s="382"/>
      <c r="H74" s="382"/>
      <c r="I74" s="399"/>
      <c r="J74" s="210"/>
    </row>
    <row r="75" spans="1:11">
      <c r="A75" s="215" t="s">
        <v>201</v>
      </c>
      <c r="I75" s="397"/>
      <c r="J75" s="117"/>
    </row>
    <row r="76" spans="1:11">
      <c r="A76" s="384" t="s">
        <v>143</v>
      </c>
      <c r="C76" s="387">
        <v>1868.1</v>
      </c>
      <c r="D76" s="387">
        <v>1870.6</v>
      </c>
      <c r="E76" s="387">
        <v>1978.2</v>
      </c>
      <c r="F76" s="387">
        <v>2097</v>
      </c>
      <c r="G76" s="387">
        <v>2199</v>
      </c>
      <c r="H76" s="387">
        <v>566</v>
      </c>
      <c r="J76" s="117"/>
      <c r="K76" s="117"/>
    </row>
    <row r="77" spans="1:11">
      <c r="A77" s="435" t="s">
        <v>400</v>
      </c>
      <c r="C77" s="387">
        <v>1530.7</v>
      </c>
      <c r="D77" s="387">
        <v>1454</v>
      </c>
      <c r="E77" s="387">
        <v>1501</v>
      </c>
      <c r="F77" s="387">
        <v>1500</v>
      </c>
      <c r="G77" s="387">
        <v>1600</v>
      </c>
      <c r="H77" s="478">
        <f>H82*H76</f>
        <v>429.97446864858091</v>
      </c>
      <c r="J77" s="117"/>
      <c r="K77" s="117"/>
    </row>
    <row r="78" spans="1:11">
      <c r="A78" s="436" t="s">
        <v>401</v>
      </c>
      <c r="B78" s="118"/>
      <c r="C78" s="437">
        <f>C76-C77</f>
        <v>337.39999999999986</v>
      </c>
      <c r="D78" s="437">
        <f>D76-D77</f>
        <v>416.59999999999991</v>
      </c>
      <c r="E78" s="437">
        <f>E76-E77</f>
        <v>477.20000000000005</v>
      </c>
      <c r="F78" s="437">
        <f>F76-F77</f>
        <v>597</v>
      </c>
      <c r="G78" s="437">
        <f t="shared" ref="G78:H78" si="11">G76-G77</f>
        <v>599</v>
      </c>
      <c r="H78" s="437">
        <f t="shared" si="11"/>
        <v>136.02553135141909</v>
      </c>
      <c r="J78" s="117"/>
      <c r="K78" s="117"/>
    </row>
    <row r="79" spans="1:11">
      <c r="A79" s="435" t="s">
        <v>402</v>
      </c>
      <c r="C79" s="410">
        <v>329.7</v>
      </c>
      <c r="D79" s="387">
        <v>370.4</v>
      </c>
      <c r="E79" s="387">
        <v>381.7</v>
      </c>
      <c r="F79" s="387">
        <v>447</v>
      </c>
      <c r="G79" s="387">
        <v>457</v>
      </c>
      <c r="H79" s="478">
        <f>H76*H83</f>
        <v>111.89111379190106</v>
      </c>
      <c r="J79" s="117"/>
      <c r="K79" s="117"/>
    </row>
    <row r="80" spans="1:11">
      <c r="A80" s="429" t="s">
        <v>144</v>
      </c>
      <c r="C80" s="426">
        <v>301</v>
      </c>
      <c r="D80" s="426">
        <v>317.60000000000002</v>
      </c>
      <c r="E80" s="424">
        <v>329.8</v>
      </c>
      <c r="F80" s="424">
        <v>387</v>
      </c>
      <c r="G80" s="424">
        <v>415</v>
      </c>
      <c r="H80" s="424">
        <v>587</v>
      </c>
    </row>
    <row r="81" spans="1:11" ht="17.25" customHeight="1">
      <c r="A81" s="477" t="s">
        <v>424</v>
      </c>
      <c r="B81" s="118"/>
      <c r="C81" s="437">
        <f>C76-C77-C79</f>
        <v>7.6999999999998749</v>
      </c>
      <c r="D81" s="437">
        <f t="shared" ref="D81:H81" si="12">D76-D77-D79</f>
        <v>46.199999999999932</v>
      </c>
      <c r="E81" s="437">
        <f t="shared" si="12"/>
        <v>95.500000000000057</v>
      </c>
      <c r="F81" s="437">
        <f t="shared" si="12"/>
        <v>150</v>
      </c>
      <c r="G81" s="437">
        <f t="shared" si="12"/>
        <v>142</v>
      </c>
      <c r="H81" s="437">
        <f t="shared" si="12"/>
        <v>24.134417559518027</v>
      </c>
      <c r="J81" s="117"/>
      <c r="K81" s="117"/>
    </row>
    <row r="82" spans="1:11">
      <c r="A82" s="475" t="s">
        <v>423</v>
      </c>
      <c r="C82" s="476">
        <f>C77/C76</f>
        <v>0.81938868368931006</v>
      </c>
      <c r="D82" s="476">
        <f t="shared" ref="D82:G82" si="13">D77/D76</f>
        <v>0.7772907088634663</v>
      </c>
      <c r="E82" s="476">
        <f t="shared" si="13"/>
        <v>0.75877059953493076</v>
      </c>
      <c r="F82" s="476">
        <f t="shared" si="13"/>
        <v>0.71530758226037194</v>
      </c>
      <c r="G82" s="476">
        <f t="shared" si="13"/>
        <v>0.72760345611641652</v>
      </c>
      <c r="H82" s="402">
        <f>AVERAGE(C82:G82)</f>
        <v>0.75967220609289909</v>
      </c>
    </row>
    <row r="83" spans="1:11" ht="30.6" customHeight="1">
      <c r="A83" s="475" t="s">
        <v>425</v>
      </c>
      <c r="C83" s="402">
        <f>C79/C76</f>
        <v>0.17648948129115144</v>
      </c>
      <c r="D83" s="402">
        <f t="shared" ref="D83:G83" si="14">D79/D76</f>
        <v>0.19801133326205494</v>
      </c>
      <c r="E83" s="402">
        <f t="shared" si="14"/>
        <v>0.19295318976847639</v>
      </c>
      <c r="F83" s="402">
        <f t="shared" si="14"/>
        <v>0.21316165951359084</v>
      </c>
      <c r="G83" s="402">
        <f t="shared" si="14"/>
        <v>0.20782173715325147</v>
      </c>
      <c r="H83" s="402">
        <f>AVERAGE(C83:G83)</f>
        <v>0.19768748019770505</v>
      </c>
      <c r="J83" s="660"/>
      <c r="K83" s="164"/>
    </row>
    <row r="84" spans="1:11">
      <c r="A84" s="384" t="s">
        <v>301</v>
      </c>
      <c r="C84" s="391">
        <v>139.19999999999999</v>
      </c>
      <c r="D84" s="391">
        <v>166.7</v>
      </c>
      <c r="E84" s="391">
        <v>175.2</v>
      </c>
      <c r="F84" s="391">
        <v>172</v>
      </c>
      <c r="G84" s="391">
        <v>165</v>
      </c>
      <c r="H84" s="387">
        <v>60</v>
      </c>
      <c r="I84" s="400"/>
      <c r="K84" s="164"/>
    </row>
    <row r="85" spans="1:11">
      <c r="A85" s="384" t="s">
        <v>302</v>
      </c>
      <c r="C85" s="391">
        <v>3918.6</v>
      </c>
      <c r="D85" s="391">
        <v>4168.2</v>
      </c>
      <c r="E85" s="391">
        <v>4532.8</v>
      </c>
      <c r="F85" s="391">
        <v>4870</v>
      </c>
      <c r="G85" s="391">
        <v>5115</v>
      </c>
      <c r="H85" s="387">
        <v>1323</v>
      </c>
      <c r="I85" s="400"/>
      <c r="K85" s="164"/>
    </row>
    <row r="86" spans="1:11">
      <c r="C86" s="387"/>
      <c r="D86" s="387"/>
      <c r="E86" s="387"/>
      <c r="F86" s="387"/>
      <c r="G86" s="387"/>
    </row>
    <row r="87" spans="1:11" ht="28.8">
      <c r="A87" s="383" t="s">
        <v>26</v>
      </c>
      <c r="C87" s="392" t="s">
        <v>303</v>
      </c>
      <c r="D87" s="392" t="s">
        <v>304</v>
      </c>
      <c r="E87" s="392" t="s">
        <v>305</v>
      </c>
      <c r="F87" s="392" t="s">
        <v>306</v>
      </c>
      <c r="G87" s="392" t="s">
        <v>307</v>
      </c>
      <c r="H87" s="382" t="s">
        <v>340</v>
      </c>
      <c r="K87" s="117"/>
    </row>
    <row r="88" spans="1:11">
      <c r="A88" s="383"/>
      <c r="C88" s="393"/>
      <c r="D88" s="392"/>
      <c r="E88" s="392"/>
      <c r="F88" s="382"/>
      <c r="G88" s="382"/>
      <c r="H88" s="382"/>
      <c r="K88" s="117"/>
    </row>
    <row r="89" spans="1:11">
      <c r="A89" s="215" t="s">
        <v>154</v>
      </c>
    </row>
    <row r="90" spans="1:11">
      <c r="A90" s="102" t="s">
        <v>27</v>
      </c>
    </row>
    <row r="91" spans="1:11">
      <c r="A91" s="92" t="s">
        <v>28</v>
      </c>
      <c r="C91" s="387">
        <v>4709.2</v>
      </c>
      <c r="D91" s="387">
        <v>2583.8000000000002</v>
      </c>
      <c r="E91" s="387">
        <v>4579.3</v>
      </c>
      <c r="F91" s="387">
        <v>1085</v>
      </c>
      <c r="G91" s="387">
        <v>774</v>
      </c>
      <c r="H91" s="387">
        <v>1170</v>
      </c>
      <c r="J91" s="117"/>
    </row>
    <row r="92" spans="1:11" s="53" customFormat="1">
      <c r="A92" s="102" t="s">
        <v>155</v>
      </c>
      <c r="C92" s="386">
        <v>4709.2</v>
      </c>
      <c r="D92" s="386">
        <v>2583.8000000000002</v>
      </c>
      <c r="E92" s="386">
        <v>4579.3</v>
      </c>
      <c r="F92" s="386">
        <v>1085</v>
      </c>
      <c r="G92" s="386">
        <v>774</v>
      </c>
      <c r="H92" s="386">
        <v>1170</v>
      </c>
      <c r="I92" s="405"/>
      <c r="J92" s="118"/>
    </row>
    <row r="93" spans="1:11">
      <c r="A93" s="92" t="s">
        <v>329</v>
      </c>
      <c r="C93" s="387">
        <v>1872.4</v>
      </c>
      <c r="D93" s="387">
        <v>2115</v>
      </c>
      <c r="E93" s="387">
        <v>2488</v>
      </c>
      <c r="F93" s="387">
        <v>2383</v>
      </c>
      <c r="G93" s="387">
        <v>2466</v>
      </c>
      <c r="H93" s="387">
        <v>2432</v>
      </c>
      <c r="J93" s="117"/>
    </row>
    <row r="94" spans="1:11">
      <c r="A94" s="92" t="s">
        <v>31</v>
      </c>
      <c r="C94" s="387">
        <v>55.6</v>
      </c>
      <c r="D94" s="387">
        <v>52</v>
      </c>
      <c r="E94" s="387">
        <v>52.8</v>
      </c>
      <c r="F94" s="387">
        <v>56</v>
      </c>
      <c r="G94" s="387">
        <v>61</v>
      </c>
      <c r="H94" s="387">
        <v>61</v>
      </c>
      <c r="J94" s="117"/>
    </row>
    <row r="95" spans="1:11">
      <c r="A95" s="92" t="s">
        <v>51</v>
      </c>
      <c r="C95" s="387">
        <v>511.3</v>
      </c>
      <c r="D95" s="387">
        <v>673.4</v>
      </c>
      <c r="E95" s="387">
        <v>866.3</v>
      </c>
      <c r="F95" s="387">
        <v>1074</v>
      </c>
      <c r="G95" s="387">
        <v>863</v>
      </c>
      <c r="H95" s="387">
        <v>1046</v>
      </c>
      <c r="J95" s="117"/>
    </row>
    <row r="96" spans="1:11">
      <c r="A96" s="102" t="s">
        <v>32</v>
      </c>
      <c r="C96" s="386">
        <f t="shared" ref="C96:H96" si="15">SUM(C92:C95)</f>
        <v>7148.5000000000009</v>
      </c>
      <c r="D96" s="386">
        <f t="shared" si="15"/>
        <v>5424.2</v>
      </c>
      <c r="E96" s="386">
        <f t="shared" si="15"/>
        <v>7986.4000000000005</v>
      </c>
      <c r="F96" s="386">
        <f t="shared" si="15"/>
        <v>4598</v>
      </c>
      <c r="G96" s="386">
        <f t="shared" si="15"/>
        <v>4164</v>
      </c>
      <c r="H96" s="386">
        <f t="shared" si="15"/>
        <v>4709</v>
      </c>
      <c r="I96" s="413"/>
      <c r="J96" s="117"/>
    </row>
    <row r="97" spans="1:10">
      <c r="A97" s="356" t="s">
        <v>381</v>
      </c>
      <c r="C97" s="387">
        <v>1201.2</v>
      </c>
      <c r="D97" s="387">
        <v>1064.5</v>
      </c>
      <c r="E97" s="387">
        <v>1080.2</v>
      </c>
      <c r="F97" s="387">
        <v>2710</v>
      </c>
      <c r="G97" s="387">
        <v>2820</v>
      </c>
      <c r="H97" s="387">
        <v>2865</v>
      </c>
      <c r="J97" s="117"/>
    </row>
    <row r="98" spans="1:10">
      <c r="A98" s="92" t="s">
        <v>330</v>
      </c>
      <c r="C98" s="387">
        <v>24720.6</v>
      </c>
      <c r="D98" s="387">
        <v>23773.599999999999</v>
      </c>
      <c r="E98" s="387">
        <v>24907.599999999999</v>
      </c>
      <c r="F98" s="387">
        <v>25295</v>
      </c>
      <c r="G98" s="387">
        <v>28241</v>
      </c>
      <c r="H98" s="387">
        <v>28245</v>
      </c>
      <c r="J98" s="117"/>
    </row>
    <row r="99" spans="1:10">
      <c r="A99" s="92" t="s">
        <v>33</v>
      </c>
      <c r="C99" s="387">
        <v>2782.5</v>
      </c>
      <c r="D99" s="387">
        <v>2900.4</v>
      </c>
      <c r="E99" s="387">
        <v>3040.4</v>
      </c>
      <c r="F99" s="387">
        <v>3145</v>
      </c>
      <c r="G99" s="387">
        <v>3354</v>
      </c>
      <c r="H99" s="387">
        <v>3349</v>
      </c>
      <c r="J99" s="117"/>
    </row>
    <row r="100" spans="1:10">
      <c r="A100" s="92" t="s">
        <v>287</v>
      </c>
      <c r="C100" s="387">
        <f>4449.5+13552</f>
        <v>18001.5</v>
      </c>
      <c r="D100" s="387">
        <v>17272.900000000001</v>
      </c>
      <c r="E100" s="387">
        <v>19132.2</v>
      </c>
      <c r="F100" s="387">
        <v>19434</v>
      </c>
      <c r="G100" s="387">
        <v>20937</v>
      </c>
      <c r="H100" s="387">
        <v>20870</v>
      </c>
      <c r="J100" s="117"/>
    </row>
    <row r="101" spans="1:10">
      <c r="A101" s="92" t="s">
        <v>385</v>
      </c>
      <c r="C101" s="414">
        <v>0</v>
      </c>
      <c r="D101" s="387">
        <v>0</v>
      </c>
      <c r="E101" s="387">
        <v>0</v>
      </c>
      <c r="F101" s="387">
        <v>0</v>
      </c>
      <c r="G101" s="387">
        <v>0</v>
      </c>
      <c r="H101" s="387">
        <v>0</v>
      </c>
      <c r="J101" s="117"/>
    </row>
    <row r="102" spans="1:10">
      <c r="A102" s="102" t="s">
        <v>34</v>
      </c>
      <c r="C102" s="386">
        <f t="shared" ref="C102:H102" si="16">SUM(C96:C101)</f>
        <v>53854.3</v>
      </c>
      <c r="D102" s="386">
        <f t="shared" si="16"/>
        <v>50435.6</v>
      </c>
      <c r="E102" s="386">
        <f t="shared" si="16"/>
        <v>56146.8</v>
      </c>
      <c r="F102" s="386">
        <f t="shared" si="16"/>
        <v>55182</v>
      </c>
      <c r="G102" s="386">
        <f t="shared" si="16"/>
        <v>59516</v>
      </c>
      <c r="H102" s="386">
        <f t="shared" si="16"/>
        <v>60038</v>
      </c>
      <c r="I102" s="413"/>
      <c r="J102" s="117"/>
    </row>
    <row r="103" spans="1:10">
      <c r="A103" s="92"/>
      <c r="C103" s="386"/>
      <c r="D103" s="386"/>
      <c r="E103" s="386"/>
      <c r="F103" s="386"/>
      <c r="G103" s="387"/>
      <c r="J103" s="117"/>
    </row>
    <row r="104" spans="1:10">
      <c r="A104" s="102" t="s">
        <v>35</v>
      </c>
      <c r="J104" s="117"/>
    </row>
    <row r="105" spans="1:10">
      <c r="A105" s="92" t="s">
        <v>36</v>
      </c>
      <c r="C105" s="387">
        <v>1006.8</v>
      </c>
      <c r="D105" s="387">
        <v>980.2</v>
      </c>
      <c r="E105" s="387">
        <v>1102.9000000000001</v>
      </c>
      <c r="F105" s="387">
        <v>1029</v>
      </c>
      <c r="G105" s="387">
        <v>1149</v>
      </c>
      <c r="H105" s="387">
        <v>1091</v>
      </c>
      <c r="J105" s="117"/>
    </row>
    <row r="106" spans="1:10">
      <c r="A106" s="92" t="s">
        <v>383</v>
      </c>
      <c r="C106" s="387">
        <v>363.3</v>
      </c>
      <c r="D106" s="387">
        <v>393.4</v>
      </c>
      <c r="E106" s="387">
        <v>468.9</v>
      </c>
      <c r="F106" s="387">
        <v>482</v>
      </c>
      <c r="G106" s="387">
        <v>533</v>
      </c>
      <c r="H106" s="387">
        <v>448</v>
      </c>
      <c r="J106" s="117"/>
    </row>
    <row r="107" spans="1:10">
      <c r="A107" s="92" t="s">
        <v>382</v>
      </c>
      <c r="C107" s="387">
        <v>1347</v>
      </c>
      <c r="D107" s="387">
        <v>1237.4000000000001</v>
      </c>
      <c r="E107" s="387">
        <v>1433.6</v>
      </c>
      <c r="F107" s="387">
        <v>1129</v>
      </c>
      <c r="G107" s="387">
        <v>1488</v>
      </c>
      <c r="H107" s="387">
        <v>1257</v>
      </c>
      <c r="J107" s="117"/>
    </row>
    <row r="108" spans="1:10">
      <c r="A108" s="356" t="s">
        <v>391</v>
      </c>
      <c r="C108" s="387">
        <v>0</v>
      </c>
      <c r="D108" s="387">
        <v>0</v>
      </c>
      <c r="E108" s="387">
        <v>2192.4</v>
      </c>
      <c r="F108" s="387">
        <v>0</v>
      </c>
      <c r="G108" s="387">
        <v>0</v>
      </c>
      <c r="H108" s="387">
        <v>0</v>
      </c>
      <c r="J108" s="117"/>
    </row>
    <row r="109" spans="1:10">
      <c r="A109" s="92" t="s">
        <v>37</v>
      </c>
      <c r="C109" s="387">
        <v>360.7</v>
      </c>
      <c r="D109" s="387">
        <v>274.89999999999998</v>
      </c>
      <c r="E109" s="387">
        <v>705.1</v>
      </c>
      <c r="F109" s="387">
        <v>361</v>
      </c>
      <c r="G109" s="387">
        <v>250</v>
      </c>
      <c r="H109" s="387">
        <v>391</v>
      </c>
      <c r="J109" s="117"/>
    </row>
    <row r="110" spans="1:10">
      <c r="A110" s="92" t="s">
        <v>372</v>
      </c>
      <c r="C110" s="387">
        <v>236.7</v>
      </c>
      <c r="D110" s="387">
        <v>255.1</v>
      </c>
      <c r="E110" s="387">
        <v>268</v>
      </c>
      <c r="F110" s="387">
        <v>224</v>
      </c>
      <c r="G110" s="387">
        <v>247</v>
      </c>
      <c r="H110" s="387">
        <v>253</v>
      </c>
      <c r="J110" s="117"/>
    </row>
    <row r="111" spans="1:10">
      <c r="A111" s="92" t="s">
        <v>373</v>
      </c>
      <c r="C111" s="387">
        <v>705.5</v>
      </c>
      <c r="D111" s="387">
        <v>661.1</v>
      </c>
      <c r="E111" s="387">
        <v>688.1</v>
      </c>
      <c r="F111" s="387">
        <v>636</v>
      </c>
      <c r="G111" s="387">
        <v>694</v>
      </c>
      <c r="H111" s="387">
        <v>707</v>
      </c>
      <c r="J111" s="117"/>
    </row>
    <row r="112" spans="1:10">
      <c r="A112" s="102" t="s">
        <v>38</v>
      </c>
      <c r="C112" s="386">
        <f t="shared" ref="C112:H112" si="17">SUM(C105:C111)</f>
        <v>4019.9999999999995</v>
      </c>
      <c r="D112" s="386">
        <f t="shared" si="17"/>
        <v>3802.1</v>
      </c>
      <c r="E112" s="386">
        <f t="shared" si="17"/>
        <v>6859.0000000000009</v>
      </c>
      <c r="F112" s="386">
        <f t="shared" si="17"/>
        <v>3861</v>
      </c>
      <c r="G112" s="386">
        <f t="shared" si="17"/>
        <v>4361</v>
      </c>
      <c r="H112" s="386">
        <f t="shared" si="17"/>
        <v>4147</v>
      </c>
      <c r="J112" s="117"/>
    </row>
    <row r="113" spans="1:10">
      <c r="A113" s="92" t="s">
        <v>39</v>
      </c>
      <c r="C113" s="387">
        <v>35622.699999999997</v>
      </c>
      <c r="D113" s="387">
        <v>35903.5</v>
      </c>
      <c r="E113" s="387">
        <v>37152.9</v>
      </c>
      <c r="F113" s="387">
        <v>38424</v>
      </c>
      <c r="G113" s="387">
        <v>39973</v>
      </c>
      <c r="H113" s="387">
        <v>40105</v>
      </c>
      <c r="J113" s="117"/>
    </row>
    <row r="114" spans="1:10">
      <c r="A114" s="419" t="s">
        <v>375</v>
      </c>
      <c r="C114" s="387">
        <v>13020.9</v>
      </c>
      <c r="D114" s="387">
        <v>12134.4</v>
      </c>
      <c r="E114" s="387">
        <v>13057.7</v>
      </c>
      <c r="F114" s="387">
        <v>12888</v>
      </c>
      <c r="G114" s="387">
        <v>14147</v>
      </c>
      <c r="H114" s="387">
        <v>14069</v>
      </c>
      <c r="J114" s="117"/>
    </row>
    <row r="115" spans="1:10">
      <c r="A115" s="92" t="s">
        <v>374</v>
      </c>
      <c r="C115" s="387">
        <v>1896.8</v>
      </c>
      <c r="D115" s="387">
        <v>791.9</v>
      </c>
      <c r="E115" s="387">
        <v>363.2</v>
      </c>
      <c r="F115" s="387">
        <v>344</v>
      </c>
      <c r="G115" s="387">
        <v>139</v>
      </c>
      <c r="H115" s="387">
        <v>151</v>
      </c>
      <c r="J115" s="117"/>
    </row>
    <row r="116" spans="1:10">
      <c r="A116" s="92" t="s">
        <v>377</v>
      </c>
      <c r="C116" s="387">
        <v>2075.6</v>
      </c>
      <c r="D116" s="387">
        <v>1997.5</v>
      </c>
      <c r="E116" s="387">
        <v>1680.9</v>
      </c>
      <c r="F116" s="387">
        <v>1914</v>
      </c>
      <c r="G116" s="387">
        <v>1038</v>
      </c>
      <c r="H116" s="387">
        <v>1220</v>
      </c>
      <c r="J116" s="117"/>
    </row>
    <row r="117" spans="1:10">
      <c r="A117" s="419" t="s">
        <v>376</v>
      </c>
      <c r="C117" s="387">
        <v>738.3</v>
      </c>
      <c r="D117" s="387">
        <v>757.8</v>
      </c>
      <c r="E117" s="387">
        <v>790.1</v>
      </c>
      <c r="F117" s="387">
        <v>778</v>
      </c>
      <c r="G117" s="387">
        <v>945</v>
      </c>
      <c r="H117" s="387">
        <v>946</v>
      </c>
      <c r="J117" s="117"/>
    </row>
    <row r="118" spans="1:10">
      <c r="A118" s="92" t="s">
        <v>378</v>
      </c>
      <c r="C118" s="387">
        <v>1081</v>
      </c>
      <c r="D118" s="387">
        <v>1051.8</v>
      </c>
      <c r="E118" s="387">
        <v>949.7</v>
      </c>
      <c r="F118" s="387">
        <v>771</v>
      </c>
      <c r="G118" s="387">
        <v>704</v>
      </c>
      <c r="H118" s="387">
        <v>686</v>
      </c>
      <c r="J118" s="117"/>
    </row>
    <row r="119" spans="1:10">
      <c r="A119" s="165" t="s">
        <v>168</v>
      </c>
      <c r="C119" s="386">
        <f t="shared" ref="C119:H119" si="18">SUM(C112:C118)</f>
        <v>58455.3</v>
      </c>
      <c r="D119" s="386">
        <f t="shared" si="18"/>
        <v>56439.000000000007</v>
      </c>
      <c r="E119" s="386">
        <f t="shared" si="18"/>
        <v>60853.5</v>
      </c>
      <c r="F119" s="386">
        <f t="shared" si="18"/>
        <v>58980</v>
      </c>
      <c r="G119" s="386">
        <f t="shared" si="18"/>
        <v>61307</v>
      </c>
      <c r="H119" s="386">
        <f t="shared" si="18"/>
        <v>61324</v>
      </c>
      <c r="J119" s="117"/>
    </row>
    <row r="120" spans="1:10">
      <c r="C120" s="386"/>
      <c r="D120" s="386"/>
      <c r="E120" s="413"/>
      <c r="F120" s="386"/>
      <c r="G120" s="386"/>
      <c r="H120" s="386"/>
      <c r="J120" s="117"/>
    </row>
    <row r="121" spans="1:10">
      <c r="A121" s="102" t="s">
        <v>379</v>
      </c>
      <c r="J121" s="117"/>
    </row>
    <row r="122" spans="1:10">
      <c r="A122" s="92" t="s">
        <v>380</v>
      </c>
      <c r="C122" s="387">
        <v>16.600000000000001</v>
      </c>
      <c r="D122" s="387">
        <v>16.600000000000001</v>
      </c>
      <c r="E122" s="387">
        <v>16.600000000000001</v>
      </c>
      <c r="F122" s="387">
        <v>17</v>
      </c>
      <c r="G122" s="387">
        <v>17</v>
      </c>
      <c r="H122" s="387">
        <v>17</v>
      </c>
      <c r="J122" s="117"/>
    </row>
    <row r="123" spans="1:10">
      <c r="A123" s="92" t="s">
        <v>40</v>
      </c>
      <c r="C123" s="387">
        <v>8231.6</v>
      </c>
      <c r="D123" s="387">
        <v>8547.1</v>
      </c>
      <c r="E123" s="387">
        <v>8892.9</v>
      </c>
      <c r="F123" s="387">
        <v>9281</v>
      </c>
      <c r="G123" s="387">
        <v>9641</v>
      </c>
      <c r="H123" s="387">
        <v>9792</v>
      </c>
      <c r="J123" s="117"/>
    </row>
    <row r="124" spans="1:10">
      <c r="A124" s="92" t="s">
        <v>41</v>
      </c>
      <c r="C124" s="387">
        <v>57534.7</v>
      </c>
      <c r="D124" s="387">
        <v>59543.9</v>
      </c>
      <c r="E124" s="387">
        <v>63479.9</v>
      </c>
      <c r="F124" s="387">
        <v>66834</v>
      </c>
      <c r="G124" s="387">
        <v>70282</v>
      </c>
      <c r="H124" s="387">
        <v>70942</v>
      </c>
      <c r="J124" s="117"/>
    </row>
    <row r="125" spans="1:10">
      <c r="A125" s="356" t="s">
        <v>42</v>
      </c>
      <c r="C125" s="421">
        <v>-2573.6999999999998</v>
      </c>
      <c r="D125" s="421">
        <v>-2486.6</v>
      </c>
      <c r="E125" s="387">
        <v>-2456</v>
      </c>
      <c r="F125" s="421">
        <v>-2553</v>
      </c>
      <c r="G125" s="387">
        <v>-2414</v>
      </c>
      <c r="H125" s="421">
        <v>-2363</v>
      </c>
      <c r="J125" s="117"/>
    </row>
    <row r="126" spans="1:10">
      <c r="A126" s="181" t="s">
        <v>156</v>
      </c>
      <c r="C126" s="421">
        <v>-67810.2</v>
      </c>
      <c r="D126" s="421">
        <v>-71624.399999999994</v>
      </c>
      <c r="E126" s="387">
        <v>-74640.100000000006</v>
      </c>
      <c r="F126" s="421">
        <v>-77375</v>
      </c>
      <c r="G126" s="421">
        <v>-79316</v>
      </c>
      <c r="H126" s="421">
        <v>-79673</v>
      </c>
      <c r="J126" s="117"/>
    </row>
    <row r="127" spans="1:10">
      <c r="A127" s="102" t="s">
        <v>384</v>
      </c>
      <c r="C127" s="386">
        <f t="shared" ref="C127:H127" si="19">C122+C123+C124+C125+C126</f>
        <v>-4601</v>
      </c>
      <c r="D127" s="386">
        <f t="shared" si="19"/>
        <v>-6003.3999999999942</v>
      </c>
      <c r="E127" s="386">
        <f t="shared" si="19"/>
        <v>-4706.7000000000116</v>
      </c>
      <c r="F127" s="386">
        <f t="shared" si="19"/>
        <v>-3796</v>
      </c>
      <c r="G127" s="386">
        <f t="shared" si="19"/>
        <v>-1790</v>
      </c>
      <c r="H127" s="386">
        <f t="shared" si="19"/>
        <v>-1285</v>
      </c>
      <c r="J127" s="117"/>
    </row>
    <row r="128" spans="1:10">
      <c r="A128" s="356" t="s">
        <v>43</v>
      </c>
      <c r="C128" s="387">
        <v>0</v>
      </c>
      <c r="D128" s="387">
        <v>0</v>
      </c>
      <c r="E128" s="375">
        <v>0</v>
      </c>
      <c r="F128" s="387">
        <v>0</v>
      </c>
      <c r="G128" s="387">
        <v>0</v>
      </c>
      <c r="H128" s="387">
        <v>0</v>
      </c>
      <c r="J128" s="117"/>
    </row>
    <row r="129" spans="1:10">
      <c r="A129" s="102" t="s">
        <v>44</v>
      </c>
      <c r="C129" s="386">
        <f t="shared" ref="C129:H129" si="20">C127+C128</f>
        <v>-4601</v>
      </c>
      <c r="D129" s="386">
        <f t="shared" si="20"/>
        <v>-6003.3999999999942</v>
      </c>
      <c r="E129" s="386">
        <f t="shared" si="20"/>
        <v>-4706.7000000000116</v>
      </c>
      <c r="F129" s="386">
        <f t="shared" si="20"/>
        <v>-3796</v>
      </c>
      <c r="G129" s="386">
        <f t="shared" si="20"/>
        <v>-1790</v>
      </c>
      <c r="H129" s="386">
        <f t="shared" si="20"/>
        <v>-1285</v>
      </c>
      <c r="J129" s="117"/>
    </row>
    <row r="130" spans="1:10">
      <c r="A130" s="102" t="s">
        <v>45</v>
      </c>
      <c r="C130" s="386">
        <f t="shared" ref="C130:H130" si="21">C119+C129</f>
        <v>53854.3</v>
      </c>
      <c r="D130" s="386">
        <f t="shared" si="21"/>
        <v>50435.600000000013</v>
      </c>
      <c r="E130" s="386">
        <f t="shared" si="21"/>
        <v>56146.799999999988</v>
      </c>
      <c r="F130" s="386">
        <f t="shared" si="21"/>
        <v>55184</v>
      </c>
      <c r="G130" s="386">
        <f t="shared" si="21"/>
        <v>59517</v>
      </c>
      <c r="H130" s="386">
        <f t="shared" si="21"/>
        <v>60039</v>
      </c>
      <c r="J130" s="117"/>
    </row>
    <row r="131" spans="1:10" s="362" customFormat="1">
      <c r="A131" s="362" t="s">
        <v>288</v>
      </c>
      <c r="C131" s="394"/>
      <c r="D131" s="394"/>
      <c r="E131" s="394"/>
      <c r="F131" s="394"/>
      <c r="G131" s="394"/>
      <c r="H131" s="394"/>
      <c r="I131" s="394"/>
      <c r="J131" s="117"/>
    </row>
    <row r="132" spans="1:10" ht="27.6">
      <c r="A132" s="220" t="s">
        <v>26</v>
      </c>
      <c r="C132" s="382" t="s">
        <v>386</v>
      </c>
      <c r="D132" s="382" t="s">
        <v>387</v>
      </c>
      <c r="E132" s="382" t="s">
        <v>388</v>
      </c>
      <c r="F132" s="382" t="s">
        <v>389</v>
      </c>
      <c r="G132" s="382" t="s">
        <v>390</v>
      </c>
      <c r="H132" s="382" t="s">
        <v>340</v>
      </c>
    </row>
    <row r="133" spans="1:10">
      <c r="A133" s="162"/>
      <c r="C133" s="382"/>
      <c r="D133" s="382"/>
      <c r="E133" s="382"/>
      <c r="F133" s="382"/>
      <c r="G133" s="382"/>
      <c r="H133" s="392"/>
    </row>
    <row r="134" spans="1:10">
      <c r="A134" s="152" t="s">
        <v>160</v>
      </c>
      <c r="G134" s="382"/>
      <c r="H134" s="392"/>
    </row>
    <row r="135" spans="1:10">
      <c r="C135" s="404" t="s">
        <v>74</v>
      </c>
      <c r="D135" s="404" t="s">
        <v>286</v>
      </c>
      <c r="E135" s="404" t="s">
        <v>75</v>
      </c>
      <c r="G135" s="382"/>
    </row>
    <row r="136" spans="1:10">
      <c r="A136" t="s">
        <v>338</v>
      </c>
      <c r="C136" s="416">
        <v>23233</v>
      </c>
      <c r="D136" s="415">
        <v>4.3999999999999997E-2</v>
      </c>
      <c r="E136" s="417">
        <f t="shared" ref="E136:E143" si="22">C136/$C$144</f>
        <v>0.57872711421098522</v>
      </c>
    </row>
    <row r="137" spans="1:10">
      <c r="A137" t="s">
        <v>339</v>
      </c>
      <c r="C137" s="416">
        <v>1298</v>
      </c>
      <c r="D137" s="415">
        <v>5.0999999999999997E-2</v>
      </c>
      <c r="E137" s="417">
        <f t="shared" si="22"/>
        <v>3.2332793623116203E-2</v>
      </c>
    </row>
    <row r="138" spans="1:10">
      <c r="A138" t="s">
        <v>331</v>
      </c>
      <c r="C138" s="418">
        <v>11486</v>
      </c>
      <c r="D138" s="415">
        <v>2.5999999999999999E-2</v>
      </c>
      <c r="E138" s="417">
        <f t="shared" si="22"/>
        <v>0.28611284095155065</v>
      </c>
      <c r="H138" s="665" t="s">
        <v>337</v>
      </c>
    </row>
    <row r="139" spans="1:10">
      <c r="A139" t="s">
        <v>332</v>
      </c>
      <c r="C139" s="418">
        <v>400</v>
      </c>
      <c r="D139" s="415">
        <v>3.6999999999999998E-2</v>
      </c>
      <c r="E139" s="417">
        <f t="shared" si="22"/>
        <v>9.963880931622867E-3</v>
      </c>
      <c r="H139" s="665"/>
    </row>
    <row r="140" spans="1:10">
      <c r="A140" t="s">
        <v>333</v>
      </c>
      <c r="C140" s="416">
        <v>1679</v>
      </c>
      <c r="D140" s="415">
        <v>4.1000000000000002E-2</v>
      </c>
      <c r="E140" s="417">
        <f t="shared" si="22"/>
        <v>4.1823390210486984E-2</v>
      </c>
      <c r="H140" s="665"/>
    </row>
    <row r="141" spans="1:10">
      <c r="A141" t="s">
        <v>334</v>
      </c>
      <c r="C141" s="418">
        <v>1275</v>
      </c>
      <c r="D141" s="415">
        <v>4.4999999999999998E-2</v>
      </c>
      <c r="E141" s="417">
        <f t="shared" si="22"/>
        <v>3.1759870469547889E-2</v>
      </c>
      <c r="H141" s="665"/>
    </row>
    <row r="142" spans="1:10">
      <c r="A142" t="s">
        <v>335</v>
      </c>
      <c r="C142" s="418">
        <v>80</v>
      </c>
      <c r="D142" s="415">
        <v>2.9000000000000001E-2</v>
      </c>
      <c r="E142" s="417">
        <f t="shared" si="22"/>
        <v>1.9927761863245733E-3</v>
      </c>
      <c r="H142" s="665"/>
    </row>
    <row r="143" spans="1:10">
      <c r="A143" s="428" t="s">
        <v>336</v>
      </c>
      <c r="C143" s="418">
        <v>694</v>
      </c>
      <c r="D143" s="415">
        <v>1.2E-2</v>
      </c>
      <c r="E143" s="417">
        <f t="shared" si="22"/>
        <v>1.7287333416365673E-2</v>
      </c>
      <c r="H143" s="665"/>
    </row>
    <row r="144" spans="1:10">
      <c r="C144" s="401">
        <f>SUM(C136:C143)</f>
        <v>40145</v>
      </c>
      <c r="E144" s="395"/>
      <c r="H144" s="665"/>
    </row>
    <row r="145" spans="1:7">
      <c r="D145" s="395"/>
    </row>
    <row r="146" spans="1:7">
      <c r="C146" s="669" t="s">
        <v>159</v>
      </c>
      <c r="D146" s="670"/>
      <c r="E146" s="671"/>
      <c r="F146" s="427">
        <f>SUMPRODUCT(D136:D143,E136:E143)</f>
        <v>3.8329754639432063E-2</v>
      </c>
    </row>
    <row r="148" spans="1:7">
      <c r="A148" s="152" t="s">
        <v>161</v>
      </c>
    </row>
    <row r="149" spans="1:7">
      <c r="C149" s="386">
        <v>2026</v>
      </c>
      <c r="D149" s="386">
        <v>2027</v>
      </c>
      <c r="E149" s="386">
        <v>2028</v>
      </c>
      <c r="F149" s="386">
        <v>2029</v>
      </c>
      <c r="G149" s="386">
        <v>2030</v>
      </c>
    </row>
    <row r="150" spans="1:7">
      <c r="C150" s="387">
        <v>0</v>
      </c>
      <c r="D150" s="387">
        <v>3201</v>
      </c>
      <c r="E150" s="387">
        <v>5166</v>
      </c>
      <c r="F150" s="387">
        <v>3637</v>
      </c>
      <c r="G150" s="387">
        <v>3011</v>
      </c>
    </row>
    <row r="152" spans="1:7">
      <c r="A152" s="162" t="s">
        <v>26</v>
      </c>
      <c r="C152" s="666" t="s">
        <v>337</v>
      </c>
      <c r="D152" s="667"/>
      <c r="E152" s="667"/>
      <c r="F152" s="667"/>
      <c r="G152" s="668"/>
    </row>
  </sheetData>
  <mergeCells count="4">
    <mergeCell ref="C12:G12"/>
    <mergeCell ref="H138:H144"/>
    <mergeCell ref="C152:G152"/>
    <mergeCell ref="C146:E146"/>
  </mergeCells>
  <phoneticPr fontId="89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D27"/>
  <sheetViews>
    <sheetView showGridLines="0" zoomScale="90" zoomScaleNormal="90" zoomScaleSheetLayoutView="90" workbookViewId="0">
      <selection activeCell="C10" sqref="C10"/>
    </sheetView>
  </sheetViews>
  <sheetFormatPr defaultColWidth="9" defaultRowHeight="14.4"/>
  <cols>
    <col min="1" max="1" width="36" bestFit="1" customWidth="1"/>
    <col min="2" max="2" width="3.44140625" customWidth="1"/>
    <col min="3" max="3" width="12.44140625" customWidth="1"/>
    <col min="4" max="5" width="12" customWidth="1"/>
    <col min="6" max="10" width="12.44140625" customWidth="1"/>
    <col min="11" max="11" width="2.6640625" customWidth="1"/>
    <col min="12" max="13" width="12.44140625" customWidth="1"/>
    <col min="14" max="14" width="3.33203125" customWidth="1"/>
    <col min="15" max="18" width="12.109375" customWidth="1"/>
    <col min="19" max="19" width="12.88671875" bestFit="1" customWidth="1"/>
    <col min="20" max="20" width="13.109375" customWidth="1"/>
  </cols>
  <sheetData>
    <row r="1" spans="1:30">
      <c r="A1" s="129" t="s">
        <v>406</v>
      </c>
    </row>
    <row r="2" spans="1:30">
      <c r="A2" t="s">
        <v>0</v>
      </c>
      <c r="C2" s="53" t="s">
        <v>1</v>
      </c>
    </row>
    <row r="3" spans="1:30">
      <c r="A3" s="158" t="s">
        <v>2</v>
      </c>
      <c r="B3" s="130"/>
      <c r="C3" s="59" t="s">
        <v>3</v>
      </c>
      <c r="D3" s="59" t="s">
        <v>3</v>
      </c>
      <c r="E3" s="59" t="s">
        <v>3</v>
      </c>
      <c r="F3" s="59" t="s">
        <v>3</v>
      </c>
      <c r="G3" s="59" t="s">
        <v>3</v>
      </c>
      <c r="I3" s="59">
        <v>3</v>
      </c>
      <c r="J3" s="59">
        <v>3</v>
      </c>
      <c r="L3" s="59">
        <v>9</v>
      </c>
      <c r="M3" s="131">
        <v>9</v>
      </c>
      <c r="N3" s="60"/>
      <c r="O3" s="131" t="s">
        <v>3</v>
      </c>
      <c r="P3" s="131" t="s">
        <v>3</v>
      </c>
      <c r="Q3" s="131" t="s">
        <v>3</v>
      </c>
      <c r="R3" s="131" t="s">
        <v>3</v>
      </c>
      <c r="S3" s="131" t="s">
        <v>3</v>
      </c>
      <c r="T3" s="131" t="s">
        <v>3</v>
      </c>
    </row>
    <row r="4" spans="1:30">
      <c r="A4" s="56"/>
      <c r="B4" s="130"/>
      <c r="C4" s="132" t="s">
        <v>4</v>
      </c>
      <c r="D4" s="132" t="s">
        <v>5</v>
      </c>
      <c r="E4" s="132" t="s">
        <v>6</v>
      </c>
      <c r="F4" s="132" t="s">
        <v>7</v>
      </c>
      <c r="G4" s="132" t="s">
        <v>8</v>
      </c>
      <c r="I4" s="381">
        <v>45747</v>
      </c>
      <c r="J4" s="381">
        <v>46112</v>
      </c>
      <c r="L4" s="132" t="s">
        <v>8</v>
      </c>
      <c r="M4" s="80" t="s">
        <v>9</v>
      </c>
      <c r="N4" s="88"/>
      <c r="O4" s="80" t="s">
        <v>9</v>
      </c>
      <c r="P4" s="80" t="s">
        <v>10</v>
      </c>
      <c r="Q4" s="80" t="s">
        <v>11</v>
      </c>
      <c r="R4" s="80" t="s">
        <v>136</v>
      </c>
      <c r="S4" s="80" t="s">
        <v>285</v>
      </c>
      <c r="T4" s="80" t="s">
        <v>297</v>
      </c>
    </row>
    <row r="5" spans="1:30">
      <c r="I5" s="144"/>
      <c r="J5" s="144"/>
      <c r="L5" s="145"/>
      <c r="M5" s="146"/>
      <c r="O5" s="133"/>
      <c r="P5" s="133"/>
      <c r="Q5" s="133"/>
      <c r="R5" s="133"/>
      <c r="S5" s="133"/>
      <c r="T5" s="133"/>
    </row>
    <row r="6" spans="1:30">
      <c r="A6" s="134" t="s">
        <v>313</v>
      </c>
      <c r="C6" s="64">
        <f>Raw!C6</f>
        <v>9787</v>
      </c>
      <c r="D6" s="64">
        <f>Raw!D6</f>
        <v>8748</v>
      </c>
      <c r="E6" s="64">
        <f>Raw!E6</f>
        <v>9742</v>
      </c>
      <c r="F6" s="64">
        <f>Raw!F6</f>
        <v>15715</v>
      </c>
      <c r="G6" s="64">
        <f>Raw!G6</f>
        <v>16548</v>
      </c>
      <c r="H6" s="64"/>
      <c r="I6" s="144">
        <f>Raw!I6</f>
        <v>2132</v>
      </c>
      <c r="J6" s="144">
        <f>Raw!H6</f>
        <v>2317</v>
      </c>
      <c r="K6" s="64"/>
      <c r="L6" s="147">
        <f>G6-I6</f>
        <v>14416</v>
      </c>
      <c r="M6" s="148">
        <f>L6*(1+J8)</f>
        <v>14848.48</v>
      </c>
      <c r="N6" s="65"/>
      <c r="O6" s="135">
        <f>J6+M6</f>
        <v>17165.48</v>
      </c>
      <c r="P6" s="135">
        <f>O6*(1+$O8)</f>
        <v>17937.926599999999</v>
      </c>
      <c r="Q6" s="135">
        <f>P6*(1+$O8)</f>
        <v>18745.133296999997</v>
      </c>
      <c r="R6" s="135">
        <f>Q6*(1+$O8)</f>
        <v>19588.664295364993</v>
      </c>
      <c r="S6" s="135">
        <f>R6*(1+$O8)</f>
        <v>20470.154188656415</v>
      </c>
      <c r="T6" s="135">
        <f>S6*(1+$O8)</f>
        <v>21391.311127145953</v>
      </c>
      <c r="U6" s="64"/>
      <c r="V6" s="64"/>
      <c r="W6" s="64"/>
      <c r="X6" s="64"/>
      <c r="Y6" s="64"/>
      <c r="Z6" s="64"/>
      <c r="AA6" s="64"/>
      <c r="AB6" s="64"/>
    </row>
    <row r="7" spans="1:30" s="128" customFormat="1">
      <c r="A7" s="216" t="s">
        <v>202</v>
      </c>
      <c r="C7" s="221"/>
      <c r="D7" s="221"/>
      <c r="E7" s="221"/>
      <c r="F7" s="221"/>
      <c r="G7" s="221"/>
      <c r="H7" s="150"/>
      <c r="I7" s="149"/>
      <c r="J7" s="144"/>
      <c r="K7" s="150"/>
      <c r="L7" s="147"/>
      <c r="M7" s="151"/>
      <c r="N7" s="217"/>
      <c r="O7" s="137"/>
      <c r="P7" s="137"/>
      <c r="Q7" s="137"/>
      <c r="R7" s="137"/>
      <c r="S7" s="137"/>
      <c r="T7" s="137"/>
      <c r="U7" s="136"/>
      <c r="V7" s="136"/>
      <c r="W7" s="136"/>
      <c r="X7" s="136"/>
      <c r="Y7" s="136"/>
      <c r="Z7" s="136"/>
      <c r="AA7" s="136"/>
      <c r="AB7" s="136"/>
    </row>
    <row r="8" spans="1:30" s="128" customFormat="1">
      <c r="A8" s="160" t="s">
        <v>142</v>
      </c>
      <c r="C8" s="123" t="str">
        <f>Raw!C13</f>
        <v>18
%</v>
      </c>
      <c r="D8" s="123" t="str">
        <f>Raw!D13</f>
        <v>4
%</v>
      </c>
      <c r="E8" s="123">
        <f>Raw!E13</f>
        <v>0.12</v>
      </c>
      <c r="F8" s="123">
        <f>Raw!F13</f>
        <v>0.02</v>
      </c>
      <c r="G8" s="123">
        <f>Raw!G13</f>
        <v>0.04</v>
      </c>
      <c r="H8" s="223">
        <f>AVERAGE(C8:G8)</f>
        <v>0.06</v>
      </c>
      <c r="I8" s="149"/>
      <c r="J8" s="223">
        <f>Raw!H13</f>
        <v>0.03</v>
      </c>
      <c r="K8" s="150"/>
      <c r="L8" s="147"/>
      <c r="M8" s="151"/>
      <c r="N8" s="217"/>
      <c r="O8" s="222">
        <f>AVERAGE(H8,J8)</f>
        <v>4.4999999999999998E-2</v>
      </c>
      <c r="P8" s="137"/>
      <c r="Q8" s="137"/>
      <c r="R8" s="137"/>
      <c r="S8" s="137"/>
      <c r="T8" s="137"/>
      <c r="U8" s="136"/>
      <c r="V8" s="136"/>
      <c r="W8" s="136"/>
      <c r="X8" s="136"/>
      <c r="Y8" s="136"/>
      <c r="Z8" s="136"/>
      <c r="AA8" s="136"/>
      <c r="AB8" s="136"/>
    </row>
    <row r="9" spans="1:30">
      <c r="C9" s="136"/>
      <c r="D9" s="136"/>
      <c r="E9" s="136"/>
      <c r="F9" s="136"/>
      <c r="G9" s="136"/>
      <c r="I9" s="144"/>
      <c r="J9" s="144"/>
      <c r="L9" s="147"/>
      <c r="M9" s="146"/>
      <c r="N9" s="217"/>
      <c r="O9" s="133"/>
      <c r="P9" s="133"/>
      <c r="Q9" s="133"/>
      <c r="R9" s="133"/>
      <c r="S9" s="133"/>
      <c r="T9" s="133"/>
    </row>
    <row r="10" spans="1:30">
      <c r="A10" s="134" t="s">
        <v>314</v>
      </c>
      <c r="C10" s="64">
        <f>Raw!C7</f>
        <v>13085</v>
      </c>
      <c r="D10" s="64">
        <f>Raw!D7</f>
        <v>14106</v>
      </c>
      <c r="E10" s="64">
        <f>Raw!E7</f>
        <v>15436</v>
      </c>
      <c r="F10" s="64">
        <f>Raw!F7</f>
        <v>9782</v>
      </c>
      <c r="G10" s="64">
        <f>Raw!G7</f>
        <v>9690</v>
      </c>
      <c r="H10" s="64"/>
      <c r="I10" s="144">
        <f>Raw!I7</f>
        <v>3661</v>
      </c>
      <c r="J10" s="144">
        <f>Raw!H7</f>
        <v>4007</v>
      </c>
      <c r="K10" s="64"/>
      <c r="L10" s="147">
        <f t="shared" ref="L10:L14" si="0">G10-I10</f>
        <v>6029</v>
      </c>
      <c r="M10" s="148">
        <f>L10*(1+J12)</f>
        <v>6330.45</v>
      </c>
      <c r="N10" s="65"/>
      <c r="O10" s="135">
        <f>J10+M10</f>
        <v>10337.450000000001</v>
      </c>
      <c r="P10" s="135">
        <f>O10*(1+$O12)</f>
        <v>10802.635249999999</v>
      </c>
      <c r="Q10" s="135">
        <f>P10*(1+$O12)</f>
        <v>11288.753836249998</v>
      </c>
      <c r="R10" s="135">
        <f>Q10*(1+$O12)</f>
        <v>11796.747758881247</v>
      </c>
      <c r="S10" s="135">
        <f>R10*(1+$O12)</f>
        <v>12327.601408030903</v>
      </c>
      <c r="T10" s="135">
        <f>S10*(1+$O12)</f>
        <v>12882.343471392292</v>
      </c>
      <c r="U10" s="64"/>
      <c r="V10" s="64"/>
      <c r="W10" s="64"/>
      <c r="X10" s="64"/>
      <c r="Y10" s="64"/>
      <c r="Z10" s="64"/>
      <c r="AA10" s="64"/>
      <c r="AB10" s="64"/>
      <c r="AC10" s="64"/>
      <c r="AD10" s="64"/>
    </row>
    <row r="11" spans="1:30" s="128" customFormat="1">
      <c r="A11" s="216" t="s">
        <v>202</v>
      </c>
      <c r="C11" s="221"/>
      <c r="D11" s="221"/>
      <c r="E11" s="221"/>
      <c r="F11" s="221"/>
      <c r="G11" s="221"/>
      <c r="H11" s="150"/>
      <c r="I11" s="149"/>
      <c r="J11" s="144"/>
      <c r="K11" s="150"/>
      <c r="L11" s="147"/>
      <c r="M11" s="151"/>
      <c r="N11" s="217"/>
      <c r="O11" s="137"/>
      <c r="P11" s="137"/>
      <c r="Q11" s="137"/>
      <c r="R11" s="137"/>
      <c r="S11" s="137"/>
      <c r="T11" s="137"/>
      <c r="U11" s="136"/>
      <c r="V11" s="136"/>
      <c r="W11" s="136"/>
      <c r="X11" s="136"/>
      <c r="Y11" s="136"/>
      <c r="Z11" s="136"/>
      <c r="AA11" s="136"/>
      <c r="AB11" s="136"/>
    </row>
    <row r="12" spans="1:30" s="128" customFormat="1">
      <c r="A12" s="160" t="s">
        <v>142</v>
      </c>
      <c r="C12" s="123" t="str">
        <f>Raw!C14</f>
        <v>19
%</v>
      </c>
      <c r="D12" s="123" t="str">
        <f>Raw!D14</f>
        <v>14
%</v>
      </c>
      <c r="E12" s="123">
        <f>Raw!E14</f>
        <v>0.09</v>
      </c>
      <c r="F12" s="123">
        <f>Raw!F14</f>
        <v>0.01</v>
      </c>
      <c r="G12" s="123">
        <f>Raw!G14</f>
        <v>0.02</v>
      </c>
      <c r="H12" s="223">
        <f>AVERAGE(C12:G12)</f>
        <v>0.04</v>
      </c>
      <c r="I12" s="149"/>
      <c r="J12" s="223">
        <f>Raw!H14</f>
        <v>0.05</v>
      </c>
      <c r="K12" s="150"/>
      <c r="L12" s="147"/>
      <c r="M12" s="151"/>
      <c r="N12" s="217"/>
      <c r="O12" s="222">
        <f>AVERAGE(H12,J12)</f>
        <v>4.4999999999999998E-2</v>
      </c>
      <c r="P12" s="137"/>
      <c r="Q12" s="137"/>
      <c r="R12" s="137"/>
      <c r="S12" s="137"/>
      <c r="T12" s="137"/>
      <c r="U12" s="136"/>
      <c r="V12" s="136"/>
      <c r="W12" s="136"/>
      <c r="X12" s="136"/>
      <c r="Y12" s="136"/>
      <c r="Z12" s="136"/>
      <c r="AA12" s="136"/>
      <c r="AB12" s="136"/>
    </row>
    <row r="13" spans="1:30">
      <c r="C13" s="64"/>
      <c r="D13" s="64"/>
      <c r="E13" s="64"/>
      <c r="F13" s="64"/>
      <c r="G13" s="64"/>
      <c r="I13" s="144"/>
      <c r="J13" s="144"/>
      <c r="L13" s="147"/>
      <c r="M13" s="146"/>
      <c r="O13" s="133"/>
      <c r="P13" s="133"/>
      <c r="Q13" s="133"/>
      <c r="R13" s="133"/>
      <c r="S13" s="133"/>
      <c r="T13" s="133"/>
    </row>
    <row r="14" spans="1:30">
      <c r="A14" s="431" t="s">
        <v>415</v>
      </c>
      <c r="C14" s="64">
        <f>Raw!C8</f>
        <v>350</v>
      </c>
      <c r="D14" s="64">
        <f>Raw!D8</f>
        <v>329</v>
      </c>
      <c r="E14" s="64">
        <f>Raw!E8</f>
        <v>316</v>
      </c>
      <c r="F14" s="64">
        <f>Raw!F8</f>
        <v>423</v>
      </c>
      <c r="G14" s="64">
        <f>Raw!G8</f>
        <v>647</v>
      </c>
      <c r="H14" s="64"/>
      <c r="I14" s="144">
        <f>Raw!I8</f>
        <v>162</v>
      </c>
      <c r="J14" s="144">
        <f>Raw!H8</f>
        <v>193</v>
      </c>
      <c r="K14" s="64"/>
      <c r="L14" s="147">
        <f t="shared" si="0"/>
        <v>485</v>
      </c>
      <c r="M14" s="148">
        <f>L14*(1+J16)</f>
        <v>562.59999999999991</v>
      </c>
      <c r="N14" s="65"/>
      <c r="O14" s="135">
        <f>J14+M14</f>
        <v>755.59999999999991</v>
      </c>
      <c r="P14" s="135">
        <f>O14*(1+$O16)</f>
        <v>902.94199999999989</v>
      </c>
      <c r="Q14" s="135">
        <f>P14*(1+$O16)</f>
        <v>1079.0156899999999</v>
      </c>
      <c r="R14" s="135">
        <f>Q14*(1+$O16)</f>
        <v>1289.4237495499999</v>
      </c>
      <c r="S14" s="135">
        <f t="shared" ref="S14" si="1">R14*(1+$O16)</f>
        <v>1540.8613807122499</v>
      </c>
      <c r="T14" s="135">
        <f>S14*(1+$O16)</f>
        <v>1841.3293499511387</v>
      </c>
      <c r="U14" s="64"/>
      <c r="V14" s="64"/>
      <c r="W14" s="64"/>
      <c r="X14" s="64"/>
      <c r="Y14" s="64"/>
      <c r="Z14" s="64"/>
      <c r="AA14" s="64"/>
      <c r="AB14" s="64"/>
    </row>
    <row r="15" spans="1:30" s="128" customFormat="1">
      <c r="A15" s="216" t="s">
        <v>202</v>
      </c>
      <c r="C15" s="221"/>
      <c r="D15" s="221"/>
      <c r="E15" s="221"/>
      <c r="F15" s="221"/>
      <c r="G15" s="221"/>
      <c r="H15" s="150"/>
      <c r="I15" s="149"/>
      <c r="J15" s="144"/>
      <c r="K15" s="150"/>
      <c r="L15" s="147"/>
      <c r="M15" s="151"/>
      <c r="N15" s="217"/>
      <c r="O15" s="137"/>
      <c r="P15" s="137"/>
      <c r="Q15" s="137"/>
      <c r="R15" s="137"/>
      <c r="S15" s="137"/>
      <c r="T15" s="137"/>
      <c r="U15" s="136"/>
    </row>
    <row r="16" spans="1:30" s="128" customFormat="1">
      <c r="A16" s="160" t="s">
        <v>142</v>
      </c>
      <c r="C16" s="123" t="str">
        <f>Raw!C16</f>
        <v>—
%</v>
      </c>
      <c r="D16" s="123">
        <f>Raw!D16</f>
        <v>0.03</v>
      </c>
      <c r="E16" s="123">
        <f>Raw!E16</f>
        <v>0.03</v>
      </c>
      <c r="F16" s="123">
        <f>Raw!F16</f>
        <v>0.34</v>
      </c>
      <c r="G16" s="123">
        <f>Raw!G16</f>
        <v>0.52</v>
      </c>
      <c r="H16" s="223">
        <f>AVERAGE(C16:G16)</f>
        <v>0.23</v>
      </c>
      <c r="I16" s="149"/>
      <c r="J16" s="223">
        <f>Raw!H16</f>
        <v>0.16</v>
      </c>
      <c r="K16" s="150"/>
      <c r="L16" s="147"/>
      <c r="M16" s="151"/>
      <c r="N16" s="217"/>
      <c r="O16" s="222">
        <f>AVERAGE(H16,J16)</f>
        <v>0.19500000000000001</v>
      </c>
      <c r="P16" s="137"/>
      <c r="Q16" s="137"/>
      <c r="R16" s="137"/>
      <c r="S16" s="137"/>
      <c r="T16" s="137"/>
      <c r="U16" s="136"/>
    </row>
    <row r="17" spans="1:20">
      <c r="I17" s="144"/>
      <c r="J17" s="144"/>
      <c r="L17" s="147"/>
      <c r="M17" s="146"/>
      <c r="N17" s="152"/>
      <c r="O17" s="133"/>
      <c r="P17" s="133"/>
      <c r="Q17" s="133"/>
      <c r="R17" s="133"/>
      <c r="S17" s="133"/>
      <c r="T17" s="133"/>
    </row>
    <row r="18" spans="1:20" s="53" customFormat="1" ht="15" thickBot="1">
      <c r="A18" s="139" t="s">
        <v>12</v>
      </c>
      <c r="C18" s="140">
        <f>SUM(C6,C10,C14)</f>
        <v>23222</v>
      </c>
      <c r="D18" s="140">
        <f>SUM(D6,D10,D14)</f>
        <v>23183</v>
      </c>
      <c r="E18" s="140">
        <f t="shared" ref="E18:T18" si="2">SUM(E6,E10,E14)</f>
        <v>25494</v>
      </c>
      <c r="F18" s="140">
        <f t="shared" si="2"/>
        <v>25920</v>
      </c>
      <c r="G18" s="140">
        <f t="shared" si="2"/>
        <v>26885</v>
      </c>
      <c r="H18"/>
      <c r="I18" s="140">
        <f>SUM(I6,I10,I14)</f>
        <v>5955</v>
      </c>
      <c r="J18" s="140">
        <f>SUM(J6,J10,J14)</f>
        <v>6517</v>
      </c>
      <c r="K18" s="152"/>
      <c r="L18" s="140">
        <f t="shared" si="2"/>
        <v>20930</v>
      </c>
      <c r="M18" s="140">
        <f t="shared" si="2"/>
        <v>21741.53</v>
      </c>
      <c r="N18"/>
      <c r="O18" s="140">
        <f t="shared" si="2"/>
        <v>28258.53</v>
      </c>
      <c r="P18" s="140">
        <f t="shared" si="2"/>
        <v>29643.503849999997</v>
      </c>
      <c r="Q18" s="140">
        <f t="shared" si="2"/>
        <v>31112.902823249995</v>
      </c>
      <c r="R18" s="140">
        <f t="shared" si="2"/>
        <v>32674.835803796239</v>
      </c>
      <c r="S18" s="140">
        <f t="shared" si="2"/>
        <v>34338.616977399572</v>
      </c>
      <c r="T18" s="140">
        <f t="shared" si="2"/>
        <v>36114.983948489389</v>
      </c>
    </row>
    <row r="19" spans="1:20" ht="15" thickTop="1">
      <c r="J19" s="192"/>
      <c r="M19" s="363"/>
      <c r="O19" s="123"/>
      <c r="P19" s="123"/>
      <c r="Q19" s="123"/>
      <c r="R19" s="123"/>
      <c r="S19" s="123"/>
      <c r="T19" s="123"/>
    </row>
    <row r="20" spans="1:20">
      <c r="N20" s="152"/>
    </row>
    <row r="21" spans="1:20">
      <c r="A21" s="365" t="s">
        <v>290</v>
      </c>
      <c r="M21" s="75"/>
    </row>
    <row r="22" spans="1:20" ht="18">
      <c r="J22" s="224"/>
    </row>
    <row r="23" spans="1:20">
      <c r="A23" s="363" t="s">
        <v>291</v>
      </c>
      <c r="C23" s="457">
        <v>0.06</v>
      </c>
    </row>
    <row r="25" spans="1:20" s="53" customFormat="1" ht="15" thickBot="1">
      <c r="A25" s="139" t="s">
        <v>12</v>
      </c>
      <c r="C25" s="364"/>
      <c r="D25" s="364"/>
      <c r="E25" s="364"/>
      <c r="F25" s="140"/>
      <c r="G25" s="366">
        <f>G18</f>
        <v>26885</v>
      </c>
      <c r="H25"/>
      <c r="I25" s="364"/>
      <c r="J25" s="366">
        <f>J18</f>
        <v>6517</v>
      </c>
      <c r="K25" s="152"/>
      <c r="L25" s="364"/>
      <c r="M25" s="366">
        <f>G25*(1+C23)-J25</f>
        <v>21981.100000000002</v>
      </c>
      <c r="N25"/>
      <c r="O25" s="140">
        <f>J25+M25</f>
        <v>28498.100000000002</v>
      </c>
      <c r="P25" s="366">
        <f>O25*(1+$C$23)</f>
        <v>30207.986000000004</v>
      </c>
      <c r="Q25" s="366">
        <f t="shared" ref="Q25" si="3">P25*(1+$C$23)</f>
        <v>32020.465160000007</v>
      </c>
      <c r="R25" s="366">
        <f>Q25*(1+$C$23)</f>
        <v>33941.693069600013</v>
      </c>
      <c r="S25" s="366">
        <f>R25*(1+$C$23)</f>
        <v>35978.194653776016</v>
      </c>
      <c r="T25" s="366">
        <f>S25*(1+$C$23)</f>
        <v>38136.886333002578</v>
      </c>
    </row>
    <row r="26" spans="1:20" ht="15" thickTop="1"/>
    <row r="27" spans="1:20">
      <c r="A27" s="456" t="s">
        <v>416</v>
      </c>
    </row>
  </sheetData>
  <phoneticPr fontId="89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12"/>
  <sheetViews>
    <sheetView showGridLines="0" zoomScale="80" zoomScaleNormal="80" workbookViewId="0">
      <pane xSplit="1" ySplit="4" topLeftCell="B86" activePane="bottomRight" state="frozen"/>
      <selection pane="topRight"/>
      <selection pane="bottomLeft"/>
      <selection pane="bottomRight" activeCell="Q16" sqref="Q16"/>
    </sheetView>
  </sheetViews>
  <sheetFormatPr defaultColWidth="9" defaultRowHeight="14.4"/>
  <cols>
    <col min="1" max="1" width="60.44140625" customWidth="1"/>
    <col min="2" max="6" width="10" bestFit="1" customWidth="1"/>
    <col min="7" max="7" width="16" bestFit="1" customWidth="1"/>
    <col min="8" max="8" width="14.6640625" bestFit="1" customWidth="1"/>
    <col min="9" max="14" width="10" bestFit="1" customWidth="1"/>
  </cols>
  <sheetData>
    <row r="1" spans="1:14">
      <c r="A1" s="56" t="s">
        <v>406</v>
      </c>
      <c r="B1" s="56"/>
      <c r="C1" s="56"/>
      <c r="D1" s="100"/>
      <c r="E1" s="100"/>
      <c r="F1" s="100"/>
      <c r="G1" s="662" t="s">
        <v>299</v>
      </c>
      <c r="H1" s="663" t="s">
        <v>300</v>
      </c>
      <c r="I1" s="119"/>
      <c r="J1" s="119"/>
      <c r="K1" s="119"/>
      <c r="L1" s="119"/>
      <c r="M1" s="119"/>
      <c r="N1" s="119"/>
    </row>
    <row r="2" spans="1:14">
      <c r="A2" s="58" t="s">
        <v>13</v>
      </c>
      <c r="B2" s="100"/>
      <c r="C2" s="100"/>
      <c r="D2" s="100"/>
      <c r="E2" s="100"/>
      <c r="F2" s="100"/>
      <c r="G2" s="662"/>
      <c r="H2" s="663"/>
      <c r="I2" s="119"/>
      <c r="J2" s="119"/>
      <c r="K2" s="119"/>
      <c r="L2" s="119"/>
      <c r="M2" s="119"/>
      <c r="N2" s="119"/>
    </row>
    <row r="3" spans="1:14">
      <c r="A3" s="56" t="s">
        <v>14</v>
      </c>
      <c r="B3" s="143">
        <v>12</v>
      </c>
      <c r="C3" s="143">
        <v>12</v>
      </c>
      <c r="D3" s="143">
        <v>12</v>
      </c>
      <c r="E3" s="143">
        <v>12</v>
      </c>
      <c r="F3" s="143">
        <v>12</v>
      </c>
      <c r="G3" s="143">
        <v>3</v>
      </c>
      <c r="H3" s="153">
        <v>9</v>
      </c>
      <c r="I3" s="153">
        <v>12</v>
      </c>
      <c r="J3" s="153">
        <v>12</v>
      </c>
      <c r="K3" s="153">
        <v>12</v>
      </c>
      <c r="L3" s="153">
        <v>12</v>
      </c>
      <c r="M3" s="153">
        <v>12</v>
      </c>
      <c r="N3" s="153">
        <v>12</v>
      </c>
    </row>
    <row r="4" spans="1:14">
      <c r="A4" s="61"/>
      <c r="B4" s="154">
        <v>44561</v>
      </c>
      <c r="C4" s="154">
        <v>44926</v>
      </c>
      <c r="D4" s="154">
        <v>45291</v>
      </c>
      <c r="E4" s="154">
        <v>45657</v>
      </c>
      <c r="F4" s="154">
        <v>46022</v>
      </c>
      <c r="G4" s="154">
        <v>46112</v>
      </c>
      <c r="H4" s="155">
        <v>46387</v>
      </c>
      <c r="I4" s="155">
        <v>46387</v>
      </c>
      <c r="J4" s="155">
        <v>46752</v>
      </c>
      <c r="K4" s="155">
        <v>47118</v>
      </c>
      <c r="L4" s="155">
        <v>47483</v>
      </c>
      <c r="M4" s="155">
        <v>47848</v>
      </c>
      <c r="N4" s="155">
        <v>48213</v>
      </c>
    </row>
    <row r="5" spans="1:14">
      <c r="B5" s="168"/>
      <c r="C5" s="168"/>
      <c r="D5" s="168"/>
      <c r="E5" s="168"/>
      <c r="F5" s="168"/>
      <c r="G5" s="168"/>
      <c r="H5" s="103"/>
      <c r="I5" s="189"/>
      <c r="J5" s="103"/>
      <c r="K5" s="103"/>
      <c r="L5" s="103"/>
      <c r="M5" s="103"/>
      <c r="N5" s="103"/>
    </row>
    <row r="6" spans="1:14" s="53" customFormat="1">
      <c r="A6" s="172" t="s">
        <v>15</v>
      </c>
      <c r="B6" s="178">
        <f>Raw!C26</f>
        <v>23222.899999999998</v>
      </c>
      <c r="C6" s="178">
        <f>Raw!D26</f>
        <v>23182.6</v>
      </c>
      <c r="D6" s="178">
        <f>Raw!E26</f>
        <v>25493.699999999997</v>
      </c>
      <c r="E6" s="178">
        <f>Raw!F26</f>
        <v>25920</v>
      </c>
      <c r="F6" s="178">
        <f>Raw!G26</f>
        <v>26885</v>
      </c>
      <c r="G6" s="178">
        <f>Raw!H26</f>
        <v>6517</v>
      </c>
      <c r="H6" s="109"/>
      <c r="I6" s="190"/>
      <c r="J6" s="109"/>
      <c r="K6" s="109"/>
      <c r="L6" s="109"/>
      <c r="M6" s="109"/>
      <c r="N6" s="109"/>
    </row>
    <row r="7" spans="1:14" s="176" customFormat="1">
      <c r="A7" s="122" t="s">
        <v>131</v>
      </c>
      <c r="B7" s="227">
        <f>B8-B6</f>
        <v>0</v>
      </c>
      <c r="C7" s="227">
        <f t="shared" ref="C7:G7" si="0">C8-C6</f>
        <v>0</v>
      </c>
      <c r="D7" s="227">
        <f t="shared" si="0"/>
        <v>0</v>
      </c>
      <c r="E7" s="227">
        <f t="shared" si="0"/>
        <v>0</v>
      </c>
      <c r="F7" s="227">
        <f t="shared" si="0"/>
        <v>0</v>
      </c>
      <c r="G7" s="227">
        <f t="shared" si="0"/>
        <v>0</v>
      </c>
      <c r="H7" s="109"/>
      <c r="I7" s="190"/>
      <c r="J7" s="109"/>
      <c r="K7" s="109"/>
      <c r="L7" s="109"/>
      <c r="M7" s="109"/>
      <c r="N7" s="109"/>
    </row>
    <row r="8" spans="1:14" s="53" customFormat="1">
      <c r="A8" s="166" t="s">
        <v>145</v>
      </c>
      <c r="B8" s="177">
        <f>Raw!C53</f>
        <v>23222.899999999998</v>
      </c>
      <c r="C8" s="177">
        <f>Raw!D53</f>
        <v>23182.6</v>
      </c>
      <c r="D8" s="177">
        <f>Raw!E53</f>
        <v>25493.699999999997</v>
      </c>
      <c r="E8" s="177">
        <f>Raw!F53</f>
        <v>25920</v>
      </c>
      <c r="F8" s="177">
        <f>Raw!G53</f>
        <v>26885</v>
      </c>
      <c r="G8" s="177">
        <f>Raw!H53</f>
        <v>6517</v>
      </c>
      <c r="H8" s="109">
        <f>'Revenue Segments'!M25</f>
        <v>21981.100000000002</v>
      </c>
      <c r="I8" s="190">
        <f>H8+G6</f>
        <v>28498.100000000002</v>
      </c>
      <c r="J8" s="109">
        <f>'Revenue Segments'!P25</f>
        <v>30207.986000000004</v>
      </c>
      <c r="K8" s="109">
        <f>'Revenue Segments'!Q25</f>
        <v>32020.465160000007</v>
      </c>
      <c r="L8" s="109">
        <f>'Revenue Segments'!R25</f>
        <v>33941.693069600013</v>
      </c>
      <c r="M8" s="109">
        <f>'Revenue Segments'!S25</f>
        <v>35978.194653776016</v>
      </c>
      <c r="N8" s="109">
        <f>'Revenue Segments'!T25</f>
        <v>38136.886333002578</v>
      </c>
    </row>
    <row r="9" spans="1:14" s="53" customFormat="1">
      <c r="A9" s="166"/>
      <c r="B9" s="169"/>
      <c r="C9" s="169"/>
      <c r="D9" s="169"/>
      <c r="E9" s="169"/>
      <c r="F9" s="169"/>
      <c r="G9" s="169"/>
      <c r="H9" s="109"/>
      <c r="I9" s="190"/>
      <c r="J9" s="109"/>
      <c r="K9" s="109"/>
      <c r="L9" s="109"/>
      <c r="M9" s="109"/>
      <c r="N9" s="109"/>
    </row>
    <row r="10" spans="1:14" s="118" customFormat="1">
      <c r="A10" s="172" t="s">
        <v>16</v>
      </c>
      <c r="B10" s="173">
        <f>SUM(Raw!C27:C31)</f>
        <v>10642.699999999999</v>
      </c>
      <c r="C10" s="173">
        <f>SUM(Raw!D27:D31)</f>
        <v>9975.4</v>
      </c>
      <c r="D10" s="173">
        <f>SUM(Raw!E27:E31)</f>
        <v>10931.2</v>
      </c>
      <c r="E10" s="173">
        <f>SUM(Raw!F27:F31)</f>
        <v>11210</v>
      </c>
      <c r="F10" s="173">
        <f>SUM(Raw!G27:G31)</f>
        <v>11451</v>
      </c>
      <c r="G10" s="173">
        <f>SUM(Raw!H27:H31)</f>
        <v>2874</v>
      </c>
      <c r="H10" s="109"/>
      <c r="I10" s="190"/>
      <c r="J10" s="109"/>
      <c r="K10" s="109"/>
      <c r="L10" s="109"/>
      <c r="M10" s="109"/>
      <c r="N10" s="109"/>
    </row>
    <row r="11" spans="1:14" s="161" customFormat="1">
      <c r="A11" s="355" t="s">
        <v>17</v>
      </c>
      <c r="B11" s="227"/>
      <c r="C11" s="227"/>
      <c r="D11" s="227"/>
      <c r="E11" s="227"/>
      <c r="F11" s="227"/>
      <c r="G11" s="227"/>
      <c r="H11" s="109"/>
      <c r="I11" s="190"/>
      <c r="J11" s="109"/>
      <c r="K11" s="109"/>
      <c r="L11" s="109"/>
      <c r="M11" s="109"/>
      <c r="N11" s="109"/>
    </row>
    <row r="12" spans="1:14" s="53" customFormat="1">
      <c r="A12" s="166" t="s">
        <v>147</v>
      </c>
      <c r="B12" s="177">
        <f>SUM(Raw!C27:C31)</f>
        <v>10642.699999999999</v>
      </c>
      <c r="C12" s="177">
        <f>SUM(Raw!D27:D31)</f>
        <v>9975.4</v>
      </c>
      <c r="D12" s="177">
        <f>SUM(Raw!E27:E31)</f>
        <v>10931.2</v>
      </c>
      <c r="E12" s="177">
        <f>SUM(Raw!F27:F31)</f>
        <v>11210</v>
      </c>
      <c r="F12" s="177">
        <f>SUM(Raw!G27:G31)</f>
        <v>11451</v>
      </c>
      <c r="G12" s="177">
        <f>SUM(Raw!H27:H31)</f>
        <v>2874</v>
      </c>
      <c r="H12" s="242"/>
      <c r="I12" s="243"/>
      <c r="J12" s="242"/>
      <c r="K12" s="242"/>
      <c r="L12" s="242"/>
      <c r="M12" s="242"/>
      <c r="N12" s="242"/>
    </row>
    <row r="13" spans="1:14">
      <c r="A13" s="356" t="s">
        <v>426</v>
      </c>
      <c r="B13" s="164">
        <f>Raw!C77</f>
        <v>1530.7</v>
      </c>
      <c r="C13" s="164">
        <f>Raw!D77</f>
        <v>1454</v>
      </c>
      <c r="D13" s="164">
        <f>Raw!E77</f>
        <v>1501</v>
      </c>
      <c r="E13" s="164">
        <f>Raw!F77</f>
        <v>1500</v>
      </c>
      <c r="F13" s="164">
        <f>Raw!G77</f>
        <v>1600</v>
      </c>
      <c r="G13" s="164">
        <f>Raw!H77</f>
        <v>429.97446864858091</v>
      </c>
      <c r="H13" s="109"/>
      <c r="I13" s="190"/>
      <c r="J13" s="109"/>
      <c r="K13" s="109"/>
      <c r="L13" s="109"/>
      <c r="M13" s="109"/>
      <c r="N13" s="109"/>
    </row>
    <row r="14" spans="1:14" s="53" customFormat="1">
      <c r="A14" s="166" t="s">
        <v>149</v>
      </c>
      <c r="B14" s="177">
        <f>B12-B13</f>
        <v>9111.9999999999982</v>
      </c>
      <c r="C14" s="177">
        <f t="shared" ref="C14:G14" si="1">C12-C13</f>
        <v>8521.4</v>
      </c>
      <c r="D14" s="177">
        <f t="shared" si="1"/>
        <v>9430.2000000000007</v>
      </c>
      <c r="E14" s="177">
        <f t="shared" si="1"/>
        <v>9710</v>
      </c>
      <c r="F14" s="177">
        <f t="shared" si="1"/>
        <v>9851</v>
      </c>
      <c r="G14" s="177">
        <f t="shared" si="1"/>
        <v>2444.025531351419</v>
      </c>
      <c r="H14" s="109">
        <f>H8*H79</f>
        <v>8227.898222948952</v>
      </c>
      <c r="I14" s="190">
        <f>H14+G14</f>
        <v>10671.923754300371</v>
      </c>
      <c r="J14" s="109">
        <f>J8*$H$79</f>
        <v>11307.361066018846</v>
      </c>
      <c r="K14" s="109">
        <f>K8*$H$79</f>
        <v>11985.802729979978</v>
      </c>
      <c r="L14" s="109">
        <f>L8*$H$79</f>
        <v>12704.950893778778</v>
      </c>
      <c r="M14" s="109">
        <f>M8*$H$79</f>
        <v>13467.247947405505</v>
      </c>
      <c r="N14" s="109">
        <f>N8*$H$79</f>
        <v>14275.282824249836</v>
      </c>
    </row>
    <row r="15" spans="1:14">
      <c r="A15" s="356"/>
      <c r="B15" s="171"/>
      <c r="C15" s="171"/>
      <c r="D15" s="171"/>
      <c r="E15" s="171"/>
      <c r="F15" s="171"/>
      <c r="G15" s="171"/>
      <c r="H15" s="103"/>
      <c r="I15" s="190"/>
      <c r="J15" s="103"/>
      <c r="K15" s="103"/>
      <c r="L15" s="103"/>
      <c r="M15" s="103"/>
      <c r="N15" s="103"/>
    </row>
    <row r="16" spans="1:14" s="53" customFormat="1">
      <c r="A16" s="359" t="s">
        <v>170</v>
      </c>
      <c r="B16" s="225">
        <f>B6-B10</f>
        <v>12580.199999999999</v>
      </c>
      <c r="C16" s="225">
        <f t="shared" ref="C16:G16" si="2">C6-C10</f>
        <v>13207.199999999999</v>
      </c>
      <c r="D16" s="225">
        <f t="shared" si="2"/>
        <v>14562.499999999996</v>
      </c>
      <c r="E16" s="225">
        <f t="shared" si="2"/>
        <v>14710</v>
      </c>
      <c r="F16" s="225">
        <f t="shared" si="2"/>
        <v>15434</v>
      </c>
      <c r="G16" s="225">
        <f t="shared" si="2"/>
        <v>3643</v>
      </c>
      <c r="H16" s="198"/>
      <c r="I16" s="200"/>
      <c r="J16" s="198"/>
      <c r="K16" s="198"/>
      <c r="L16" s="198"/>
      <c r="M16" s="198"/>
      <c r="N16" s="198"/>
    </row>
    <row r="17" spans="1:14" s="53" customFormat="1">
      <c r="A17" s="166" t="s">
        <v>148</v>
      </c>
      <c r="B17" s="179">
        <f>B8-B14</f>
        <v>14110.9</v>
      </c>
      <c r="C17" s="179">
        <f t="shared" ref="C17:G17" si="3">C8-C14</f>
        <v>14661.199999999999</v>
      </c>
      <c r="D17" s="179">
        <f t="shared" si="3"/>
        <v>16063.499999999996</v>
      </c>
      <c r="E17" s="179">
        <f t="shared" si="3"/>
        <v>16210</v>
      </c>
      <c r="F17" s="179">
        <f t="shared" si="3"/>
        <v>17034</v>
      </c>
      <c r="G17" s="179">
        <f t="shared" si="3"/>
        <v>4072.974468648581</v>
      </c>
      <c r="H17" s="108">
        <f>H8-H14</f>
        <v>13753.20177705105</v>
      </c>
      <c r="I17" s="191">
        <f>H17+G17</f>
        <v>17826.176245699629</v>
      </c>
      <c r="J17" s="108">
        <f>J8-J14</f>
        <v>18900.624933981158</v>
      </c>
      <c r="K17" s="108">
        <f>K8-K14</f>
        <v>20034.662430020027</v>
      </c>
      <c r="L17" s="108">
        <f>L8-L14</f>
        <v>21236.742175821237</v>
      </c>
      <c r="M17" s="108">
        <f>M8-M14</f>
        <v>22510.946706370509</v>
      </c>
      <c r="N17" s="108">
        <f>N8-N14</f>
        <v>23861.603508752742</v>
      </c>
    </row>
    <row r="18" spans="1:14" s="53" customFormat="1">
      <c r="A18" s="357"/>
      <c r="B18" s="170"/>
      <c r="C18" s="170"/>
      <c r="D18" s="170"/>
      <c r="E18" s="170"/>
      <c r="F18" s="170"/>
      <c r="G18" s="170"/>
      <c r="H18" s="108"/>
      <c r="I18" s="191"/>
      <c r="J18" s="108"/>
      <c r="K18" s="108"/>
      <c r="L18" s="108"/>
      <c r="M18" s="108"/>
      <c r="N18" s="108"/>
    </row>
    <row r="19" spans="1:14" s="117" customFormat="1">
      <c r="A19" s="172" t="s">
        <v>18</v>
      </c>
      <c r="B19" s="179">
        <f>Raw!C34+B20</f>
        <v>2385.5</v>
      </c>
      <c r="C19" s="179">
        <f>Raw!D34+C20</f>
        <v>2538.3999999999996</v>
      </c>
      <c r="D19" s="179">
        <f>Raw!E34+D20</f>
        <v>2530.6999999999998</v>
      </c>
      <c r="E19" s="179">
        <f>Raw!F34+E20</f>
        <v>2562</v>
      </c>
      <c r="F19" s="179">
        <f>Raw!G34+F20</f>
        <v>2725</v>
      </c>
      <c r="G19" s="179">
        <f>Raw!H34+G20</f>
        <v>672.13441755951806</v>
      </c>
      <c r="H19" s="185"/>
      <c r="I19" s="190"/>
      <c r="J19" s="185"/>
      <c r="K19" s="185"/>
      <c r="L19" s="185"/>
      <c r="M19" s="185"/>
      <c r="N19" s="185"/>
    </row>
    <row r="20" spans="1:14" s="176" customFormat="1">
      <c r="A20" s="355" t="s">
        <v>17</v>
      </c>
      <c r="B20" s="472">
        <f>Raw!C81</f>
        <v>7.6999999999998749</v>
      </c>
      <c r="C20" s="472">
        <f>Raw!D81</f>
        <v>46.199999999999932</v>
      </c>
      <c r="D20" s="472">
        <f>Raw!E81</f>
        <v>95.500000000000057</v>
      </c>
      <c r="E20" s="472">
        <f>Raw!F81</f>
        <v>150</v>
      </c>
      <c r="F20" s="472">
        <f>Raw!G81</f>
        <v>142</v>
      </c>
      <c r="G20" s="472">
        <f>Raw!H81</f>
        <v>24.134417559518027</v>
      </c>
      <c r="H20" s="186"/>
      <c r="I20" s="190"/>
      <c r="J20" s="186"/>
      <c r="K20" s="186"/>
      <c r="L20" s="186"/>
      <c r="M20" s="186"/>
      <c r="N20" s="186"/>
    </row>
    <row r="21" spans="1:14">
      <c r="A21" s="166" t="s">
        <v>172</v>
      </c>
      <c r="B21" s="479">
        <f>B19-B20</f>
        <v>2377.8000000000002</v>
      </c>
      <c r="C21" s="479">
        <f t="shared" ref="C21:G21" si="4">C19-C20</f>
        <v>2492.1999999999998</v>
      </c>
      <c r="D21" s="479">
        <f t="shared" si="4"/>
        <v>2435.1999999999998</v>
      </c>
      <c r="E21" s="479">
        <f t="shared" si="4"/>
        <v>2412</v>
      </c>
      <c r="F21" s="479">
        <f t="shared" si="4"/>
        <v>2583</v>
      </c>
      <c r="G21" s="479">
        <f t="shared" si="4"/>
        <v>648</v>
      </c>
      <c r="H21" s="480">
        <f>H8*H81</f>
        <v>2176.0507980973175</v>
      </c>
      <c r="I21" s="481">
        <f>H21+G21</f>
        <v>2824.0507980973175</v>
      </c>
      <c r="J21" s="480">
        <f>J8*$H$81</f>
        <v>2990.4832808281931</v>
      </c>
      <c r="K21" s="480">
        <f>K8*$H$81</f>
        <v>3169.912277677885</v>
      </c>
      <c r="L21" s="480">
        <f>L8*$H$81</f>
        <v>3360.1070143385587</v>
      </c>
      <c r="M21" s="480">
        <f>M8*$H$81</f>
        <v>3561.713435198872</v>
      </c>
      <c r="N21" s="480">
        <f>N8*$H$81</f>
        <v>3775.4162413108047</v>
      </c>
    </row>
    <row r="22" spans="1:14" ht="15.75" customHeight="1">
      <c r="A22" s="356"/>
      <c r="B22" s="179"/>
      <c r="C22" s="179"/>
      <c r="D22" s="179"/>
      <c r="E22" s="179"/>
      <c r="F22" s="179"/>
      <c r="G22" s="369"/>
      <c r="H22" s="370"/>
      <c r="I22" s="368"/>
      <c r="J22" s="370"/>
      <c r="K22" s="370"/>
      <c r="L22" s="370"/>
      <c r="M22" s="370"/>
      <c r="N22" s="370"/>
    </row>
    <row r="23" spans="1:14">
      <c r="A23" s="172" t="s">
        <v>19</v>
      </c>
      <c r="B23" s="174">
        <f>Raw!C35</f>
        <v>-483.3</v>
      </c>
      <c r="C23" s="174">
        <f>Raw!D35</f>
        <v>973.6</v>
      </c>
      <c r="D23" s="174">
        <f>Raw!E35</f>
        <v>98.9</v>
      </c>
      <c r="E23" s="174">
        <f>Raw!F35</f>
        <v>139</v>
      </c>
      <c r="F23" s="174">
        <f>Raw!G35</f>
        <v>2</v>
      </c>
      <c r="G23" s="174">
        <f>Raw!H35</f>
        <v>-69</v>
      </c>
      <c r="H23" s="103"/>
      <c r="I23" s="190"/>
      <c r="J23" s="103"/>
      <c r="K23" s="103"/>
      <c r="L23" s="103"/>
      <c r="M23" s="103"/>
      <c r="N23" s="103"/>
    </row>
    <row r="24" spans="1:14" s="117" customFormat="1">
      <c r="A24" s="355" t="s">
        <v>17</v>
      </c>
      <c r="B24" s="473">
        <f>B25-B23</f>
        <v>-284.99999999999994</v>
      </c>
      <c r="C24" s="473">
        <f t="shared" ref="C24:G24" si="5">C25-C23</f>
        <v>1009.9999999999999</v>
      </c>
      <c r="D24" s="473">
        <f t="shared" si="5"/>
        <v>290</v>
      </c>
      <c r="E24" s="473">
        <f t="shared" si="5"/>
        <v>291</v>
      </c>
      <c r="F24" s="473">
        <f t="shared" si="5"/>
        <v>229</v>
      </c>
      <c r="G24" s="473">
        <f t="shared" si="5"/>
        <v>47</v>
      </c>
      <c r="H24" s="185"/>
      <c r="I24" s="190"/>
      <c r="J24" s="185"/>
      <c r="K24" s="185"/>
      <c r="L24" s="185"/>
      <c r="M24" s="185"/>
      <c r="N24" s="185"/>
    </row>
    <row r="25" spans="1:14" s="117" customFormat="1">
      <c r="A25" s="166" t="s">
        <v>173</v>
      </c>
      <c r="B25" s="179">
        <f>Raw!C61</f>
        <v>-768.3</v>
      </c>
      <c r="C25" s="179">
        <f>Raw!D61</f>
        <v>1983.6</v>
      </c>
      <c r="D25" s="179">
        <f>Raw!E61</f>
        <v>388.9</v>
      </c>
      <c r="E25" s="179">
        <f>Raw!F61</f>
        <v>430</v>
      </c>
      <c r="F25" s="179">
        <f>Raw!G61</f>
        <v>231</v>
      </c>
      <c r="G25" s="179">
        <f>Raw!H61</f>
        <v>-22</v>
      </c>
      <c r="H25" s="446">
        <f>H8*H83</f>
        <v>328.03520403346658</v>
      </c>
      <c r="I25" s="190">
        <f>H25+G25</f>
        <v>306.03520403346658</v>
      </c>
      <c r="J25" s="446">
        <f>J8*$H$83</f>
        <v>450.80923388502401</v>
      </c>
      <c r="K25" s="446">
        <f>K8*$H$83</f>
        <v>477.8577879181255</v>
      </c>
      <c r="L25" s="446">
        <f>L8*$H$83</f>
        <v>506.52925519321315</v>
      </c>
      <c r="M25" s="446">
        <f>M8*$H$83</f>
        <v>536.92101050480596</v>
      </c>
      <c r="N25" s="446">
        <f>N8*$H$83</f>
        <v>569.13627113509426</v>
      </c>
    </row>
    <row r="26" spans="1:14">
      <c r="A26" s="166"/>
      <c r="B26" s="203"/>
      <c r="C26" s="203"/>
      <c r="D26" s="203"/>
      <c r="E26" s="203"/>
      <c r="F26" s="203"/>
      <c r="G26" s="203"/>
      <c r="H26" s="204"/>
      <c r="I26" s="205"/>
      <c r="J26" s="204"/>
      <c r="K26" s="204"/>
      <c r="L26" s="204"/>
      <c r="M26" s="204"/>
      <c r="N26" s="204"/>
    </row>
    <row r="27" spans="1:14">
      <c r="A27" s="360" t="s">
        <v>174</v>
      </c>
      <c r="B27" s="180">
        <f t="shared" ref="B27:H27" si="6">B17-B21-B25</f>
        <v>12501.399999999998</v>
      </c>
      <c r="C27" s="180">
        <f t="shared" si="6"/>
        <v>10185.4</v>
      </c>
      <c r="D27" s="180">
        <f t="shared" si="6"/>
        <v>13239.399999999996</v>
      </c>
      <c r="E27" s="180">
        <f t="shared" si="6"/>
        <v>13368</v>
      </c>
      <c r="F27" s="180">
        <f t="shared" si="6"/>
        <v>14220</v>
      </c>
      <c r="G27" s="180">
        <f t="shared" si="6"/>
        <v>3446.974468648581</v>
      </c>
      <c r="H27" s="108">
        <f t="shared" si="6"/>
        <v>11249.115774920265</v>
      </c>
      <c r="I27" s="191">
        <f>H27+G294</f>
        <v>11249.115774920265</v>
      </c>
      <c r="J27" s="108">
        <f>J17-J21-J25</f>
        <v>15459.332419267941</v>
      </c>
      <c r="K27" s="108">
        <f>K17-K21-K25</f>
        <v>16386.892364424017</v>
      </c>
      <c r="L27" s="108">
        <f>L17-L21-L25</f>
        <v>17370.105906289464</v>
      </c>
      <c r="M27" s="108">
        <f>M17-M21-M25</f>
        <v>18412.312260666833</v>
      </c>
      <c r="N27" s="108">
        <f>N17-N21-N25</f>
        <v>19517.05099630684</v>
      </c>
    </row>
    <row r="28" spans="1:14">
      <c r="A28" s="166"/>
      <c r="B28" s="171"/>
      <c r="C28" s="171"/>
      <c r="D28" s="171"/>
      <c r="E28" s="171"/>
      <c r="F28" s="171"/>
      <c r="G28" s="171"/>
      <c r="H28" s="103"/>
      <c r="I28" s="189"/>
      <c r="J28" s="103"/>
      <c r="K28" s="103"/>
      <c r="L28" s="103"/>
      <c r="M28" s="103"/>
      <c r="N28" s="103"/>
    </row>
    <row r="29" spans="1:14">
      <c r="A29" s="172" t="s">
        <v>421</v>
      </c>
      <c r="B29" s="171">
        <f>Raw!C76</f>
        <v>1868.1</v>
      </c>
      <c r="C29" s="171">
        <f>Raw!D76</f>
        <v>1870.6</v>
      </c>
      <c r="D29" s="171">
        <f>Raw!E76</f>
        <v>1978.2</v>
      </c>
      <c r="E29" s="171">
        <f>Raw!F76</f>
        <v>2097</v>
      </c>
      <c r="F29" s="171">
        <f>Raw!G76</f>
        <v>2199</v>
      </c>
      <c r="G29" s="171">
        <f>Raw!H76</f>
        <v>566</v>
      </c>
      <c r="H29" s="103"/>
      <c r="I29" s="189"/>
      <c r="J29" s="103"/>
      <c r="K29" s="103"/>
      <c r="L29" s="103"/>
      <c r="M29" s="103"/>
      <c r="N29" s="103"/>
    </row>
    <row r="30" spans="1:14" s="117" customFormat="1">
      <c r="A30" s="355" t="s">
        <v>17</v>
      </c>
      <c r="B30" s="474">
        <f>Raw!C81</f>
        <v>7.6999999999998749</v>
      </c>
      <c r="C30" s="474">
        <f>Raw!D81</f>
        <v>46.199999999999932</v>
      </c>
      <c r="D30" s="474">
        <f>Raw!E81</f>
        <v>95.500000000000057</v>
      </c>
      <c r="E30" s="474">
        <f>Raw!F81</f>
        <v>150</v>
      </c>
      <c r="F30" s="474">
        <f>Raw!G81</f>
        <v>142</v>
      </c>
      <c r="G30" s="474">
        <f>Raw!H81</f>
        <v>24.134417559518027</v>
      </c>
      <c r="H30" s="185"/>
      <c r="I30" s="190"/>
      <c r="J30" s="185"/>
      <c r="K30" s="185"/>
      <c r="L30" s="185"/>
      <c r="M30" s="185"/>
      <c r="N30" s="185"/>
    </row>
    <row r="31" spans="1:14" s="117" customFormat="1">
      <c r="A31" s="166" t="s">
        <v>422</v>
      </c>
      <c r="B31" s="227">
        <f>B29-B30</f>
        <v>1860.4</v>
      </c>
      <c r="C31" s="227">
        <f t="shared" ref="C31:G31" si="7">C29-C30</f>
        <v>1824.4</v>
      </c>
      <c r="D31" s="227">
        <f t="shared" si="7"/>
        <v>1882.7</v>
      </c>
      <c r="E31" s="227">
        <f t="shared" si="7"/>
        <v>1947</v>
      </c>
      <c r="F31" s="227">
        <f t="shared" si="7"/>
        <v>2057</v>
      </c>
      <c r="G31" s="227">
        <f t="shared" si="7"/>
        <v>541.86558244048194</v>
      </c>
      <c r="H31" s="490">
        <f>'Fixed Assets Schedule'!H9</f>
        <v>1611.7207292727501</v>
      </c>
      <c r="I31" s="445">
        <f>H31+G31</f>
        <v>2153.5863117132321</v>
      </c>
      <c r="J31" s="490">
        <f>'Fixed Assets Schedule'!I9</f>
        <v>2264.9842467442122</v>
      </c>
      <c r="K31" s="490">
        <f>'Fixed Assets Schedule'!J9</f>
        <v>2348.9095994465065</v>
      </c>
      <c r="L31" s="490">
        <f>'Fixed Assets Schedule'!K9</f>
        <v>2441.5179800793157</v>
      </c>
      <c r="M31" s="490">
        <f>'Fixed Assets Schedule'!L9</f>
        <v>2543.0743888300035</v>
      </c>
      <c r="N31" s="490">
        <f>'Fixed Assets Schedule'!M9</f>
        <v>2653.8776906403805</v>
      </c>
    </row>
    <row r="32" spans="1:14">
      <c r="A32" s="166"/>
      <c r="B32" s="104"/>
      <c r="C32" s="104"/>
      <c r="D32" s="104"/>
      <c r="E32" s="104"/>
      <c r="F32" s="104"/>
      <c r="G32" s="171"/>
      <c r="H32" s="103"/>
      <c r="I32" s="189"/>
      <c r="J32" s="103"/>
      <c r="K32" s="103"/>
      <c r="L32" s="103"/>
      <c r="M32" s="103"/>
      <c r="N32" s="103"/>
    </row>
    <row r="33" spans="1:14" s="53" customFormat="1">
      <c r="A33" s="359" t="s">
        <v>171</v>
      </c>
      <c r="B33" s="225">
        <f t="shared" ref="B33:G33" si="8">B16-B19-B23</f>
        <v>10677.999999999998</v>
      </c>
      <c r="C33" s="225">
        <f t="shared" si="8"/>
        <v>9695.1999999999989</v>
      </c>
      <c r="D33" s="225">
        <f t="shared" si="8"/>
        <v>11932.899999999996</v>
      </c>
      <c r="E33" s="225">
        <f t="shared" si="8"/>
        <v>12009</v>
      </c>
      <c r="F33" s="225">
        <f t="shared" si="8"/>
        <v>12707</v>
      </c>
      <c r="G33" s="225">
        <f t="shared" si="8"/>
        <v>3039.8655824404818</v>
      </c>
      <c r="H33" s="199"/>
      <c r="I33" s="201"/>
      <c r="J33" s="199"/>
      <c r="K33" s="199"/>
      <c r="L33" s="199"/>
      <c r="M33" s="199"/>
      <c r="N33" s="199"/>
    </row>
    <row r="34" spans="1:14" s="53" customFormat="1">
      <c r="A34" s="166" t="s">
        <v>175</v>
      </c>
      <c r="B34" s="180">
        <f>B27-B31</f>
        <v>10640.999999999998</v>
      </c>
      <c r="C34" s="180">
        <f t="shared" ref="C34:G34" si="9">C27-C31</f>
        <v>8361</v>
      </c>
      <c r="D34" s="180">
        <f t="shared" si="9"/>
        <v>11356.699999999995</v>
      </c>
      <c r="E34" s="180">
        <f t="shared" si="9"/>
        <v>11421</v>
      </c>
      <c r="F34" s="180">
        <f t="shared" si="9"/>
        <v>12163</v>
      </c>
      <c r="G34" s="180">
        <f t="shared" si="9"/>
        <v>2905.1088862080992</v>
      </c>
      <c r="H34" s="108">
        <f>H27-H29</f>
        <v>11249.115774920265</v>
      </c>
      <c r="I34" s="191">
        <f>H34+G34</f>
        <v>14154.224661128364</v>
      </c>
      <c r="J34" s="108">
        <f>J27-J29</f>
        <v>15459.332419267941</v>
      </c>
      <c r="K34" s="108">
        <f t="shared" ref="K34:N34" si="10">K27-K29</f>
        <v>16386.892364424017</v>
      </c>
      <c r="L34" s="108">
        <f t="shared" si="10"/>
        <v>17370.105906289464</v>
      </c>
      <c r="M34" s="108">
        <f t="shared" si="10"/>
        <v>18412.312260666833</v>
      </c>
      <c r="N34" s="108">
        <f t="shared" si="10"/>
        <v>19517.05099630684</v>
      </c>
    </row>
    <row r="35" spans="1:14" s="53" customFormat="1">
      <c r="A35" s="357"/>
      <c r="B35" s="170"/>
      <c r="C35" s="170"/>
      <c r="D35" s="170"/>
      <c r="E35" s="170"/>
      <c r="F35" s="170"/>
      <c r="G35" s="170"/>
      <c r="H35" s="108"/>
      <c r="I35" s="191"/>
      <c r="J35" s="108"/>
      <c r="K35" s="108"/>
      <c r="L35" s="108"/>
      <c r="M35" s="108"/>
      <c r="N35" s="108"/>
    </row>
    <row r="36" spans="1:14">
      <c r="A36" s="172" t="s">
        <v>20</v>
      </c>
      <c r="B36" s="175">
        <f>Raw!C37</f>
        <v>1185.8</v>
      </c>
      <c r="C36" s="175">
        <f>Raw!D37</f>
        <v>1207</v>
      </c>
      <c r="D36" s="175">
        <f>Raw!E37</f>
        <v>1360.8</v>
      </c>
      <c r="E36" s="175">
        <f>Raw!F37</f>
        <v>1506</v>
      </c>
      <c r="F36" s="175">
        <f>Raw!G37</f>
        <v>1582</v>
      </c>
      <c r="G36" s="175">
        <f>Raw!H37</f>
        <v>400</v>
      </c>
      <c r="H36" s="187"/>
      <c r="I36" s="190"/>
      <c r="J36" s="187"/>
      <c r="K36" s="187"/>
      <c r="L36" s="187"/>
      <c r="M36" s="187"/>
      <c r="N36" s="187"/>
    </row>
    <row r="37" spans="1:14">
      <c r="A37" s="355" t="s">
        <v>17</v>
      </c>
      <c r="B37" s="227"/>
      <c r="C37" s="227"/>
      <c r="D37" s="227"/>
      <c r="E37" s="227"/>
      <c r="F37" s="227"/>
      <c r="G37" s="227"/>
      <c r="H37" s="187"/>
      <c r="I37" s="190"/>
      <c r="J37" s="187"/>
      <c r="K37" s="187"/>
      <c r="L37" s="187"/>
      <c r="M37" s="187"/>
      <c r="N37" s="187"/>
    </row>
    <row r="38" spans="1:14">
      <c r="A38" s="166" t="s">
        <v>176</v>
      </c>
      <c r="B38" s="180">
        <f>Raw!C63</f>
        <v>1185.8</v>
      </c>
      <c r="C38" s="180">
        <f>Raw!D63</f>
        <v>1207</v>
      </c>
      <c r="D38" s="180">
        <f>Raw!E63</f>
        <v>1360.8</v>
      </c>
      <c r="E38" s="180">
        <f>Raw!F63</f>
        <v>1506</v>
      </c>
      <c r="F38" s="180">
        <f>Raw!G63</f>
        <v>1582</v>
      </c>
      <c r="G38" s="180">
        <f>Raw!H63</f>
        <v>400</v>
      </c>
      <c r="H38" s="489">
        <f>'Debt Schedule'!H13</f>
        <v>1152.9111073608174</v>
      </c>
      <c r="I38" s="489">
        <f>H38+G38</f>
        <v>1552.9111073608174</v>
      </c>
      <c r="J38" s="489">
        <f>'Debt Schedule'!I13</f>
        <v>1475.8680375140118</v>
      </c>
      <c r="K38" s="489">
        <f>'Debt Schedule'!J13</f>
        <v>1315.5155089799478</v>
      </c>
      <c r="L38" s="489">
        <f>'Debt Schedule'!K13</f>
        <v>1146.8070939344875</v>
      </c>
      <c r="M38" s="489">
        <f>'Debt Schedule'!L13</f>
        <v>1019.3989895130154</v>
      </c>
      <c r="N38" s="489">
        <f>'Debt Schedule'!M13</f>
        <v>961.69354390335047</v>
      </c>
    </row>
    <row r="39" spans="1:14">
      <c r="A39" s="356"/>
      <c r="B39" s="171"/>
      <c r="C39" s="171"/>
      <c r="D39" s="171"/>
      <c r="E39" s="171"/>
      <c r="F39" s="171"/>
      <c r="G39" s="171"/>
      <c r="H39" s="103"/>
      <c r="I39" s="189"/>
      <c r="J39" s="103"/>
      <c r="K39" s="103"/>
      <c r="L39" s="103"/>
      <c r="M39" s="103"/>
      <c r="N39" s="103"/>
    </row>
    <row r="40" spans="1:14">
      <c r="A40" s="172" t="s">
        <v>417</v>
      </c>
      <c r="B40" s="175">
        <f>Raw!C38</f>
        <v>42.3</v>
      </c>
      <c r="C40" s="175">
        <f>Raw!D38</f>
        <v>338.6</v>
      </c>
      <c r="D40" s="175" t="str">
        <f>Raw!E38</f>
        <v>-236.3</v>
      </c>
      <c r="E40" s="175" t="str">
        <f>Raw!F38</f>
        <v>-139</v>
      </c>
      <c r="F40" s="175" t="str">
        <f>Raw!G38</f>
        <v>-87</v>
      </c>
      <c r="G40" s="175">
        <f>Raw!H38</f>
        <v>11</v>
      </c>
      <c r="H40" s="187"/>
      <c r="I40" s="190"/>
      <c r="J40" s="187"/>
      <c r="K40" s="187"/>
      <c r="L40" s="187"/>
      <c r="M40" s="187"/>
      <c r="N40" s="187"/>
    </row>
    <row r="41" spans="1:14">
      <c r="A41" s="355" t="s">
        <v>17</v>
      </c>
      <c r="B41" s="227"/>
      <c r="C41" s="227"/>
      <c r="D41" s="227"/>
      <c r="E41" s="227"/>
      <c r="F41" s="227"/>
      <c r="G41" s="227"/>
      <c r="H41" s="187"/>
      <c r="I41" s="190"/>
      <c r="J41" s="187"/>
      <c r="K41" s="187"/>
      <c r="L41" s="187"/>
      <c r="M41" s="187"/>
      <c r="N41" s="187"/>
    </row>
    <row r="42" spans="1:14">
      <c r="A42" s="166" t="s">
        <v>177</v>
      </c>
      <c r="B42" s="180">
        <f>Raw!C64</f>
        <v>42.3</v>
      </c>
      <c r="C42" s="180">
        <f>Raw!D64</f>
        <v>338.6</v>
      </c>
      <c r="D42" s="180" t="str">
        <f>Raw!E64</f>
        <v>-236.3</v>
      </c>
      <c r="E42" s="180" t="str">
        <f>Raw!F64</f>
        <v>-139</v>
      </c>
      <c r="F42" s="180" t="str">
        <f>Raw!G64</f>
        <v>-87</v>
      </c>
      <c r="G42" s="180">
        <f>Raw!H64</f>
        <v>11</v>
      </c>
      <c r="H42" s="107">
        <f>H8*H85</f>
        <v>0.90685552295413374</v>
      </c>
      <c r="I42" s="190">
        <f>H42+G42</f>
        <v>11.906855522954134</v>
      </c>
      <c r="J42" s="107">
        <f>J8*$H$85</f>
        <v>1.2462651524000687</v>
      </c>
      <c r="K42" s="107">
        <f>K8*$H$85</f>
        <v>1.3210410615440731</v>
      </c>
      <c r="L42" s="107">
        <f>L8*$H$85</f>
        <v>1.4003035252367175</v>
      </c>
      <c r="M42" s="107">
        <f>M8*$H$85</f>
        <v>1.4843217367509207</v>
      </c>
      <c r="N42" s="107">
        <f>N8*$H$85</f>
        <v>1.5733810409559761</v>
      </c>
    </row>
    <row r="43" spans="1:14">
      <c r="A43" s="356"/>
      <c r="B43" s="171"/>
      <c r="C43" s="171"/>
      <c r="D43" s="171"/>
      <c r="E43" s="171"/>
      <c r="F43" s="171"/>
      <c r="G43" s="171"/>
      <c r="H43" s="103"/>
      <c r="I43" s="189"/>
      <c r="J43" s="103"/>
      <c r="K43" s="103"/>
      <c r="L43" s="103"/>
      <c r="M43" s="103"/>
      <c r="N43" s="103"/>
    </row>
    <row r="44" spans="1:14" s="53" customFormat="1">
      <c r="A44" s="359" t="s">
        <v>179</v>
      </c>
      <c r="B44" s="225">
        <f>B33-B36-B40</f>
        <v>9449.9</v>
      </c>
      <c r="C44" s="225">
        <f t="shared" ref="C44:G44" si="11">C33-C36+C40</f>
        <v>8826.7999999999993</v>
      </c>
      <c r="D44" s="225">
        <f t="shared" si="11"/>
        <v>10335.799999999997</v>
      </c>
      <c r="E44" s="225">
        <f t="shared" si="11"/>
        <v>10364</v>
      </c>
      <c r="F44" s="225">
        <f t="shared" si="11"/>
        <v>11038</v>
      </c>
      <c r="G44" s="225">
        <f t="shared" si="11"/>
        <v>2650.8655824404818</v>
      </c>
      <c r="H44" s="199"/>
      <c r="I44" s="201"/>
      <c r="J44" s="199"/>
      <c r="K44" s="199"/>
      <c r="L44" s="199"/>
      <c r="M44" s="199"/>
      <c r="N44" s="199"/>
    </row>
    <row r="45" spans="1:14" s="53" customFormat="1">
      <c r="A45" s="166" t="s">
        <v>178</v>
      </c>
      <c r="B45" s="180">
        <f>B34-B38-B42</f>
        <v>9412.9</v>
      </c>
      <c r="C45" s="180">
        <f t="shared" ref="C45:G45" si="12">C34-C38-C42</f>
        <v>6815.4</v>
      </c>
      <c r="D45" s="180">
        <f t="shared" si="12"/>
        <v>10232.199999999995</v>
      </c>
      <c r="E45" s="180">
        <f t="shared" si="12"/>
        <v>10054</v>
      </c>
      <c r="F45" s="180">
        <f t="shared" si="12"/>
        <v>10668</v>
      </c>
      <c r="G45" s="180">
        <f t="shared" si="12"/>
        <v>2494.1088862080992</v>
      </c>
      <c r="H45" s="108">
        <f>H34-H38+H42</f>
        <v>10097.1115230824</v>
      </c>
      <c r="I45" s="191">
        <f>H45+G45</f>
        <v>12591.220409290499</v>
      </c>
      <c r="J45" s="108">
        <f>J34-J38+J42</f>
        <v>13984.710646906329</v>
      </c>
      <c r="K45" s="108">
        <f t="shared" ref="K45:N45" si="13">K34-K38+K42</f>
        <v>15072.697896505613</v>
      </c>
      <c r="L45" s="108">
        <f t="shared" si="13"/>
        <v>16224.699115880214</v>
      </c>
      <c r="M45" s="108">
        <f t="shared" si="13"/>
        <v>17394.397592890571</v>
      </c>
      <c r="N45" s="108">
        <f t="shared" si="13"/>
        <v>18556.930833444443</v>
      </c>
    </row>
    <row r="46" spans="1:14">
      <c r="A46" s="356"/>
      <c r="B46" s="171"/>
      <c r="C46" s="171"/>
      <c r="D46" s="171"/>
      <c r="E46" s="171"/>
      <c r="F46" s="171"/>
      <c r="G46" s="171"/>
      <c r="H46" s="103"/>
      <c r="I46" s="189"/>
      <c r="J46" s="103"/>
      <c r="K46" s="103"/>
      <c r="L46" s="103"/>
      <c r="M46" s="103"/>
      <c r="N46" s="103"/>
    </row>
    <row r="47" spans="1:14">
      <c r="A47" s="172" t="s">
        <v>21</v>
      </c>
      <c r="B47" s="175">
        <f>Raw!C40</f>
        <v>1582.7</v>
      </c>
      <c r="C47" s="175">
        <f>Raw!D40</f>
        <v>1648</v>
      </c>
      <c r="D47" s="175">
        <f>Raw!E40</f>
        <v>2053.4</v>
      </c>
      <c r="E47" s="175">
        <f>Raw!F40</f>
        <v>2121</v>
      </c>
      <c r="F47" s="175">
        <f>Raw!G40</f>
        <v>2334</v>
      </c>
      <c r="G47" s="175">
        <f>Raw!H40</f>
        <v>559</v>
      </c>
      <c r="H47" s="187"/>
      <c r="I47" s="190"/>
      <c r="J47" s="187"/>
      <c r="K47" s="187"/>
      <c r="L47" s="187"/>
      <c r="M47" s="187"/>
      <c r="N47" s="187"/>
    </row>
    <row r="48" spans="1:14">
      <c r="A48" s="355" t="s">
        <v>17</v>
      </c>
      <c r="B48" s="227">
        <f>B49-B47</f>
        <v>364</v>
      </c>
      <c r="C48" s="227">
        <f t="shared" ref="C48:G48" si="14">C49-C47</f>
        <v>-537</v>
      </c>
      <c r="D48" s="227">
        <f t="shared" si="14"/>
        <v>0</v>
      </c>
      <c r="E48" s="227">
        <f t="shared" si="14"/>
        <v>0</v>
      </c>
      <c r="F48" s="227">
        <f t="shared" si="14"/>
        <v>0</v>
      </c>
      <c r="G48" s="227">
        <f t="shared" si="14"/>
        <v>0</v>
      </c>
      <c r="H48" s="187"/>
      <c r="I48" s="190"/>
      <c r="J48" s="187"/>
      <c r="K48" s="187"/>
      <c r="L48" s="187"/>
      <c r="M48" s="187"/>
      <c r="N48" s="187"/>
    </row>
    <row r="49" spans="1:14">
      <c r="A49" s="166" t="s">
        <v>180</v>
      </c>
      <c r="B49" s="180">
        <f>Raw!C66</f>
        <v>1946.7</v>
      </c>
      <c r="C49" s="180">
        <f>Raw!D66</f>
        <v>1111</v>
      </c>
      <c r="D49" s="180">
        <f>Raw!E66</f>
        <v>2053.4</v>
      </c>
      <c r="E49" s="180">
        <f>Raw!F66</f>
        <v>2121</v>
      </c>
      <c r="F49" s="180">
        <f>Raw!G66</f>
        <v>2334</v>
      </c>
      <c r="G49" s="180">
        <f>Raw!H66</f>
        <v>559</v>
      </c>
      <c r="H49" s="107">
        <f>H45*H89</f>
        <v>2060.4492570660927</v>
      </c>
      <c r="I49" s="190">
        <f>H49+G49</f>
        <v>2619.4492570660927</v>
      </c>
      <c r="J49" s="107">
        <f>J45*$H$89</f>
        <v>2853.7653166284904</v>
      </c>
      <c r="K49" s="107">
        <f t="shared" ref="K49:N49" si="15">K45*$H$89</f>
        <v>3075.7835160917243</v>
      </c>
      <c r="L49" s="107">
        <f t="shared" si="15"/>
        <v>3310.864613410833</v>
      </c>
      <c r="M49" s="107">
        <f t="shared" si="15"/>
        <v>3549.5570704009074</v>
      </c>
      <c r="N49" s="107">
        <f t="shared" si="15"/>
        <v>3786.787366049125</v>
      </c>
    </row>
    <row r="50" spans="1:14">
      <c r="A50" s="356"/>
      <c r="B50" s="171"/>
      <c r="C50" s="171"/>
      <c r="D50" s="171"/>
      <c r="E50" s="171"/>
      <c r="F50" s="171"/>
      <c r="G50" s="171"/>
      <c r="H50" s="103"/>
      <c r="I50" s="189"/>
      <c r="J50" s="103"/>
      <c r="K50" s="103"/>
      <c r="L50" s="103"/>
      <c r="M50" s="103"/>
      <c r="N50" s="103"/>
    </row>
    <row r="51" spans="1:14" s="53" customFormat="1">
      <c r="A51" s="359" t="s">
        <v>203</v>
      </c>
      <c r="B51" s="225">
        <f>B44-B47</f>
        <v>7867.2</v>
      </c>
      <c r="C51" s="225">
        <f t="shared" ref="C51:G51" si="16">C44-C47</f>
        <v>7178.7999999999993</v>
      </c>
      <c r="D51" s="225">
        <f t="shared" si="16"/>
        <v>8282.3999999999978</v>
      </c>
      <c r="E51" s="225">
        <f t="shared" si="16"/>
        <v>8243</v>
      </c>
      <c r="F51" s="225">
        <f t="shared" si="16"/>
        <v>8704</v>
      </c>
      <c r="G51" s="225">
        <f t="shared" si="16"/>
        <v>2091.8655824404818</v>
      </c>
      <c r="H51" s="199"/>
      <c r="I51" s="201"/>
      <c r="J51" s="199"/>
      <c r="K51" s="199"/>
      <c r="L51" s="199"/>
      <c r="M51" s="199"/>
      <c r="N51" s="199"/>
    </row>
    <row r="52" spans="1:14" s="53" customFormat="1">
      <c r="A52" s="167" t="s">
        <v>22</v>
      </c>
      <c r="B52" s="180">
        <f>B45-B49</f>
        <v>7466.2</v>
      </c>
      <c r="C52" s="180">
        <f t="shared" ref="C52:G52" si="17">C45-C49</f>
        <v>5704.4</v>
      </c>
      <c r="D52" s="180">
        <f t="shared" si="17"/>
        <v>8178.7999999999956</v>
      </c>
      <c r="E52" s="180">
        <f t="shared" si="17"/>
        <v>7933</v>
      </c>
      <c r="F52" s="180">
        <f t="shared" si="17"/>
        <v>8334</v>
      </c>
      <c r="G52" s="180">
        <f t="shared" si="17"/>
        <v>1935.1088862080992</v>
      </c>
      <c r="H52" s="108">
        <f>H45-H49</f>
        <v>8036.6622660163066</v>
      </c>
      <c r="I52" s="191">
        <f>H52+G52</f>
        <v>9971.7711522244063</v>
      </c>
      <c r="J52" s="108">
        <f>J45-J49</f>
        <v>11130.945330277838</v>
      </c>
      <c r="K52" s="108">
        <f t="shared" ref="K52:N52" si="18">K45-K49</f>
        <v>11996.914380413889</v>
      </c>
      <c r="L52" s="108">
        <f t="shared" si="18"/>
        <v>12913.834502469381</v>
      </c>
      <c r="M52" s="108">
        <f t="shared" si="18"/>
        <v>13844.840522489663</v>
      </c>
      <c r="N52" s="108">
        <f t="shared" si="18"/>
        <v>14770.143467395319</v>
      </c>
    </row>
    <row r="53" spans="1:14">
      <c r="A53" s="356"/>
      <c r="B53" s="171"/>
      <c r="C53" s="171"/>
      <c r="D53" s="171"/>
      <c r="E53" s="171"/>
      <c r="F53" s="171"/>
      <c r="G53" s="171"/>
      <c r="H53" s="103"/>
      <c r="I53" s="189"/>
      <c r="J53" s="103"/>
      <c r="K53" s="103"/>
      <c r="L53" s="103"/>
      <c r="M53" s="103"/>
      <c r="N53" s="103"/>
    </row>
    <row r="54" spans="1:14">
      <c r="A54" s="172" t="s">
        <v>23</v>
      </c>
      <c r="B54" s="174">
        <v>0</v>
      </c>
      <c r="C54" s="174">
        <v>0</v>
      </c>
      <c r="D54" s="174">
        <v>0</v>
      </c>
      <c r="E54" s="174">
        <v>0</v>
      </c>
      <c r="F54" s="174">
        <v>0</v>
      </c>
      <c r="G54" s="174">
        <v>0</v>
      </c>
      <c r="H54" s="447"/>
      <c r="I54" s="190"/>
      <c r="J54" s="447"/>
      <c r="K54" s="447"/>
      <c r="L54" s="447"/>
      <c r="M54" s="447"/>
      <c r="N54" s="447"/>
    </row>
    <row r="55" spans="1:14">
      <c r="A55" s="355" t="s">
        <v>17</v>
      </c>
      <c r="B55" s="227"/>
      <c r="C55" s="227"/>
      <c r="D55" s="227"/>
      <c r="E55" s="227"/>
      <c r="F55" s="227"/>
      <c r="G55" s="227"/>
      <c r="H55" s="185"/>
      <c r="I55" s="190"/>
      <c r="J55" s="185"/>
      <c r="K55" s="185"/>
      <c r="L55" s="185"/>
      <c r="M55" s="185"/>
      <c r="N55" s="185"/>
    </row>
    <row r="56" spans="1:14">
      <c r="A56" s="166" t="s">
        <v>181</v>
      </c>
      <c r="B56" s="180">
        <v>0</v>
      </c>
      <c r="C56" s="180">
        <v>0</v>
      </c>
      <c r="D56" s="180">
        <v>0</v>
      </c>
      <c r="E56" s="180">
        <v>0</v>
      </c>
      <c r="F56" s="180">
        <v>0</v>
      </c>
      <c r="G56" s="180">
        <v>0</v>
      </c>
      <c r="H56" s="447">
        <v>0</v>
      </c>
      <c r="I56" s="190">
        <v>0</v>
      </c>
      <c r="J56" s="447">
        <v>0</v>
      </c>
      <c r="K56" s="447">
        <v>0</v>
      </c>
      <c r="L56" s="447">
        <v>0</v>
      </c>
      <c r="M56" s="447">
        <v>0</v>
      </c>
      <c r="N56" s="447">
        <v>0</v>
      </c>
    </row>
    <row r="57" spans="1:14">
      <c r="A57" s="358"/>
      <c r="B57" s="171"/>
      <c r="C57" s="171"/>
      <c r="D57" s="171"/>
      <c r="E57" s="171"/>
      <c r="F57" s="171"/>
      <c r="G57" s="171"/>
      <c r="H57" s="103"/>
      <c r="I57" s="189"/>
      <c r="J57" s="103"/>
      <c r="K57" s="103"/>
      <c r="L57" s="103"/>
      <c r="M57" s="103"/>
      <c r="N57" s="103"/>
    </row>
    <row r="58" spans="1:14" s="53" customFormat="1" ht="28.8">
      <c r="A58" s="359" t="s">
        <v>408</v>
      </c>
      <c r="B58" s="225">
        <f>B51-B54</f>
        <v>7867.2</v>
      </c>
      <c r="C58" s="225">
        <f t="shared" ref="C58:G58" si="19">C51-C54</f>
        <v>7178.7999999999993</v>
      </c>
      <c r="D58" s="225">
        <f t="shared" si="19"/>
        <v>8282.3999999999978</v>
      </c>
      <c r="E58" s="225">
        <f t="shared" si="19"/>
        <v>8243</v>
      </c>
      <c r="F58" s="225">
        <f t="shared" si="19"/>
        <v>8704</v>
      </c>
      <c r="G58" s="225">
        <f t="shared" si="19"/>
        <v>2091.8655824404818</v>
      </c>
      <c r="H58" s="196"/>
      <c r="I58" s="202"/>
      <c r="J58" s="196"/>
      <c r="K58" s="196"/>
      <c r="L58" s="196"/>
      <c r="M58" s="196"/>
      <c r="N58" s="196"/>
    </row>
    <row r="59" spans="1:14" s="53" customFormat="1" ht="28.8">
      <c r="A59" s="166" t="s">
        <v>409</v>
      </c>
      <c r="B59" s="180">
        <f>B52-B56</f>
        <v>7466.2</v>
      </c>
      <c r="C59" s="180">
        <f t="shared" ref="C59:G59" si="20">C52-C56</f>
        <v>5704.4</v>
      </c>
      <c r="D59" s="180">
        <f t="shared" si="20"/>
        <v>8178.7999999999956</v>
      </c>
      <c r="E59" s="180">
        <f t="shared" si="20"/>
        <v>7933</v>
      </c>
      <c r="F59" s="180">
        <f t="shared" si="20"/>
        <v>8334</v>
      </c>
      <c r="G59" s="180">
        <f t="shared" si="20"/>
        <v>1935.1088862080992</v>
      </c>
      <c r="H59" s="206">
        <f>H52-H56</f>
        <v>8036.6622660163066</v>
      </c>
      <c r="I59" s="207">
        <f>H59+G59</f>
        <v>9971.7711522244063</v>
      </c>
      <c r="J59" s="206">
        <f>J52-J56</f>
        <v>11130.945330277838</v>
      </c>
      <c r="K59" s="206">
        <f t="shared" ref="K59:N59" si="21">K52-K56</f>
        <v>11996.914380413889</v>
      </c>
      <c r="L59" s="206">
        <f t="shared" si="21"/>
        <v>12913.834502469381</v>
      </c>
      <c r="M59" s="206">
        <f t="shared" si="21"/>
        <v>13844.840522489663</v>
      </c>
      <c r="N59" s="206">
        <f t="shared" si="21"/>
        <v>14770.143467395319</v>
      </c>
    </row>
    <row r="60" spans="1:14">
      <c r="A60" s="102"/>
      <c r="B60" s="171"/>
      <c r="C60" s="171"/>
      <c r="D60" s="171"/>
      <c r="E60" s="171"/>
      <c r="F60" s="171"/>
      <c r="G60" s="171"/>
      <c r="H60" s="103"/>
      <c r="I60" s="189"/>
      <c r="J60" s="103"/>
      <c r="K60" s="103"/>
      <c r="L60" s="103"/>
      <c r="M60" s="103"/>
      <c r="N60" s="103"/>
    </row>
    <row r="61" spans="1:14">
      <c r="A61" s="485" t="s">
        <v>153</v>
      </c>
      <c r="B61" s="171">
        <f>Raw!C85</f>
        <v>3918.6</v>
      </c>
      <c r="C61" s="171">
        <f>Raw!D85</f>
        <v>4168.2</v>
      </c>
      <c r="D61" s="171">
        <f>Raw!E85</f>
        <v>4532.8</v>
      </c>
      <c r="E61" s="171">
        <f>Raw!F85</f>
        <v>4870</v>
      </c>
      <c r="F61" s="171">
        <f>Raw!G85</f>
        <v>5115</v>
      </c>
      <c r="G61" s="171">
        <f>Raw!H85</f>
        <v>1323</v>
      </c>
      <c r="H61" s="182">
        <f>H59*H93</f>
        <v>4984.1804754788191</v>
      </c>
      <c r="I61" s="190">
        <f>H61+G61</f>
        <v>6307.1804754788191</v>
      </c>
      <c r="J61" s="182">
        <f>J59*$H$93</f>
        <v>6903.1942058071754</v>
      </c>
      <c r="K61" s="182">
        <f t="shared" ref="K61:N61" si="22">K59*$H$93</f>
        <v>7440.2512438151343</v>
      </c>
      <c r="L61" s="182">
        <f t="shared" si="22"/>
        <v>8008.9071383458358</v>
      </c>
      <c r="M61" s="182">
        <f t="shared" si="22"/>
        <v>8586.2988308100357</v>
      </c>
      <c r="N61" s="182">
        <f t="shared" si="22"/>
        <v>9160.1535878281993</v>
      </c>
    </row>
    <row r="62" spans="1:14">
      <c r="A62" s="102"/>
      <c r="B62" s="171"/>
      <c r="C62" s="171"/>
      <c r="D62" s="171"/>
      <c r="E62" s="171"/>
      <c r="F62" s="226"/>
      <c r="G62" s="171"/>
      <c r="H62" s="103"/>
      <c r="I62" s="190"/>
      <c r="J62" s="103"/>
      <c r="K62" s="103"/>
      <c r="L62" s="103"/>
      <c r="M62" s="103"/>
      <c r="N62" s="103"/>
    </row>
    <row r="63" spans="1:14">
      <c r="A63" s="357" t="s">
        <v>152</v>
      </c>
      <c r="B63" s="171"/>
      <c r="C63" s="171"/>
      <c r="D63" s="171"/>
      <c r="E63" s="171"/>
      <c r="F63" s="171"/>
      <c r="G63" s="171"/>
      <c r="H63" s="103"/>
      <c r="I63" s="190"/>
      <c r="J63" s="103"/>
      <c r="K63" s="103"/>
      <c r="L63" s="103"/>
      <c r="M63" s="103"/>
      <c r="N63" s="103"/>
    </row>
    <row r="64" spans="1:14">
      <c r="A64" s="357" t="s">
        <v>24</v>
      </c>
      <c r="B64" s="171"/>
      <c r="C64" s="171"/>
      <c r="D64" s="171"/>
      <c r="E64" s="171"/>
      <c r="F64" s="171"/>
      <c r="G64" s="171"/>
      <c r="H64" s="103"/>
      <c r="I64" s="190"/>
      <c r="J64" s="103"/>
      <c r="K64" s="103"/>
      <c r="L64" s="103"/>
      <c r="M64" s="103"/>
      <c r="N64" s="103"/>
    </row>
    <row r="65" spans="1:14">
      <c r="A65" s="102"/>
      <c r="B65" s="171"/>
      <c r="C65" s="171"/>
      <c r="D65" s="171"/>
      <c r="E65" s="171"/>
      <c r="F65" s="171"/>
      <c r="G65" s="171"/>
      <c r="H65" s="103"/>
      <c r="I65" s="190"/>
      <c r="J65" s="103"/>
      <c r="K65" s="103"/>
      <c r="L65" s="103"/>
      <c r="M65" s="103"/>
      <c r="N65" s="103"/>
    </row>
    <row r="66" spans="1:14">
      <c r="A66" s="102" t="s">
        <v>282</v>
      </c>
      <c r="B66" s="226"/>
      <c r="C66" s="226"/>
      <c r="D66" s="226"/>
      <c r="E66" s="226"/>
      <c r="F66" s="226"/>
      <c r="G66" s="226"/>
      <c r="H66" s="228"/>
      <c r="I66" s="231"/>
      <c r="J66" s="230"/>
      <c r="K66" s="230"/>
      <c r="L66" s="230"/>
      <c r="M66" s="230"/>
      <c r="N66" s="230"/>
    </row>
    <row r="67" spans="1:14" ht="28.8">
      <c r="A67" s="357" t="s">
        <v>283</v>
      </c>
      <c r="B67" s="226"/>
      <c r="C67" s="226"/>
      <c r="D67" s="226"/>
      <c r="E67" s="226"/>
      <c r="F67" s="226"/>
      <c r="G67" s="226"/>
      <c r="H67" s="229"/>
      <c r="I67" s="231"/>
      <c r="J67" s="230"/>
      <c r="K67" s="230"/>
      <c r="L67" s="230"/>
      <c r="M67" s="230"/>
      <c r="N67" s="230"/>
    </row>
    <row r="68" spans="1:14">
      <c r="A68" s="102"/>
      <c r="B68" s="104"/>
      <c r="C68" s="104"/>
      <c r="D68" s="104"/>
      <c r="E68" s="104"/>
      <c r="F68" s="104"/>
      <c r="H68" s="103"/>
      <c r="I68" s="190"/>
      <c r="J68" s="103"/>
      <c r="K68" s="103"/>
      <c r="L68" s="103"/>
      <c r="M68" s="103"/>
      <c r="N68" s="103"/>
    </row>
    <row r="69" spans="1:14">
      <c r="A69" s="121" t="s">
        <v>205</v>
      </c>
      <c r="H69" s="101"/>
      <c r="I69" s="190"/>
      <c r="J69" s="103"/>
      <c r="K69" s="103"/>
      <c r="L69" s="103"/>
      <c r="M69" s="103"/>
      <c r="N69" s="103"/>
    </row>
    <row r="70" spans="1:14">
      <c r="A70" s="58" t="s">
        <v>189</v>
      </c>
      <c r="H70" s="103"/>
      <c r="I70" s="189"/>
      <c r="J70" s="103"/>
      <c r="K70" s="103"/>
      <c r="L70" s="103"/>
      <c r="M70" s="103"/>
      <c r="N70" s="103"/>
    </row>
    <row r="71" spans="1:14">
      <c r="A71" s="58" t="s">
        <v>188</v>
      </c>
      <c r="B71" s="70">
        <f t="shared" ref="B71:N71" si="23">B17/B8</f>
        <v>0.60762867686636901</v>
      </c>
      <c r="C71" s="70">
        <f t="shared" si="23"/>
        <v>0.63242259280667401</v>
      </c>
      <c r="D71" s="70">
        <f t="shared" si="23"/>
        <v>0.63009684745643035</v>
      </c>
      <c r="E71" s="70">
        <f t="shared" si="23"/>
        <v>0.62538580246913578</v>
      </c>
      <c r="F71" s="70">
        <f t="shared" si="23"/>
        <v>0.63358750232471639</v>
      </c>
      <c r="G71" s="70">
        <f t="shared" si="23"/>
        <v>0.62497690174138121</v>
      </c>
      <c r="H71" s="448">
        <f t="shared" si="23"/>
        <v>0.62568305394411783</v>
      </c>
      <c r="I71" s="449">
        <f t="shared" si="23"/>
        <v>0.62552156970814288</v>
      </c>
      <c r="J71" s="448">
        <f t="shared" si="23"/>
        <v>0.62568305394411783</v>
      </c>
      <c r="K71" s="448">
        <f t="shared" si="23"/>
        <v>0.62568305394411772</v>
      </c>
      <c r="L71" s="448">
        <f t="shared" si="23"/>
        <v>0.62568305394411783</v>
      </c>
      <c r="M71" s="448">
        <f t="shared" si="23"/>
        <v>0.62568305394411783</v>
      </c>
      <c r="N71" s="448">
        <f t="shared" si="23"/>
        <v>0.62568305394411783</v>
      </c>
    </row>
    <row r="72" spans="1:14">
      <c r="A72" s="58" t="s">
        <v>187</v>
      </c>
      <c r="B72" s="70">
        <f t="shared" ref="B72:N72" si="24">B27/B8</f>
        <v>0.53832208725008501</v>
      </c>
      <c r="C72" s="70">
        <f t="shared" si="24"/>
        <v>0.43935537860291773</v>
      </c>
      <c r="D72" s="70">
        <f t="shared" si="24"/>
        <v>0.51932045956451978</v>
      </c>
      <c r="E72" s="70">
        <f t="shared" si="24"/>
        <v>0.51574074074074072</v>
      </c>
      <c r="F72" s="70">
        <f t="shared" si="24"/>
        <v>0.52891947182443744</v>
      </c>
      <c r="G72" s="70">
        <f t="shared" si="24"/>
        <v>0.52892043404151923</v>
      </c>
      <c r="H72" s="448">
        <f t="shared" si="24"/>
        <v>0.51176309533736997</v>
      </c>
      <c r="I72" s="449">
        <f t="shared" si="24"/>
        <v>0.39473213213934488</v>
      </c>
      <c r="J72" s="448">
        <f t="shared" si="24"/>
        <v>0.51176309533736997</v>
      </c>
      <c r="K72" s="448">
        <f t="shared" si="24"/>
        <v>0.51176309533736997</v>
      </c>
      <c r="L72" s="448">
        <f t="shared" si="24"/>
        <v>0.51176309533737008</v>
      </c>
      <c r="M72" s="448">
        <f t="shared" si="24"/>
        <v>0.51176309533737008</v>
      </c>
      <c r="N72" s="448">
        <f t="shared" si="24"/>
        <v>0.51176309533736997</v>
      </c>
    </row>
    <row r="73" spans="1:14">
      <c r="A73" s="58" t="s">
        <v>186</v>
      </c>
      <c r="B73" s="70">
        <f t="shared" ref="B73:N73" si="25">B45/B8</f>
        <v>0.40532836122964833</v>
      </c>
      <c r="C73" s="70">
        <f t="shared" si="25"/>
        <v>0.29398773217844421</v>
      </c>
      <c r="D73" s="70">
        <f t="shared" si="25"/>
        <v>0.40136190509812214</v>
      </c>
      <c r="E73" s="70">
        <f t="shared" si="25"/>
        <v>0.38788580246913579</v>
      </c>
      <c r="F73" s="70">
        <f t="shared" si="25"/>
        <v>0.39680119025478894</v>
      </c>
      <c r="G73" s="70">
        <f t="shared" si="25"/>
        <v>0.38270813046004282</v>
      </c>
      <c r="H73" s="448">
        <f t="shared" si="25"/>
        <v>0.45935424173869366</v>
      </c>
      <c r="I73" s="449">
        <f t="shared" si="25"/>
        <v>0.44182666245435653</v>
      </c>
      <c r="J73" s="448">
        <f t="shared" si="25"/>
        <v>0.46294746849082646</v>
      </c>
      <c r="K73" s="448">
        <f t="shared" si="25"/>
        <v>0.47072076627214149</v>
      </c>
      <c r="L73" s="448">
        <f t="shared" si="25"/>
        <v>0.47801678845572726</v>
      </c>
      <c r="M73" s="448">
        <f t="shared" si="25"/>
        <v>0.48347055099011144</v>
      </c>
      <c r="N73" s="448">
        <f t="shared" si="25"/>
        <v>0.48658746472927977</v>
      </c>
    </row>
    <row r="74" spans="1:14">
      <c r="A74" s="58" t="s">
        <v>185</v>
      </c>
      <c r="B74" s="70">
        <f t="shared" ref="B74:N74" si="26">B52/B8</f>
        <v>0.32150162124454745</v>
      </c>
      <c r="C74" s="70">
        <f t="shared" si="26"/>
        <v>0.24606385823850646</v>
      </c>
      <c r="D74" s="70">
        <f t="shared" si="26"/>
        <v>0.32081651545283724</v>
      </c>
      <c r="E74" s="70">
        <f t="shared" si="26"/>
        <v>0.30605709876543208</v>
      </c>
      <c r="F74" s="70">
        <f t="shared" si="26"/>
        <v>0.30998698158824622</v>
      </c>
      <c r="G74" s="70">
        <f t="shared" si="26"/>
        <v>0.29693246681112462</v>
      </c>
      <c r="H74" s="448">
        <f t="shared" si="26"/>
        <v>0.3656169284529121</v>
      </c>
      <c r="I74" s="449">
        <f t="shared" si="26"/>
        <v>0.34991003443122193</v>
      </c>
      <c r="J74" s="448">
        <f t="shared" si="26"/>
        <v>0.36847690972439662</v>
      </c>
      <c r="K74" s="448">
        <f t="shared" si="26"/>
        <v>0.37466396320189765</v>
      </c>
      <c r="L74" s="448">
        <f t="shared" si="26"/>
        <v>0.38047113548486178</v>
      </c>
      <c r="M74" s="448">
        <f t="shared" si="26"/>
        <v>0.38481198558518021</v>
      </c>
      <c r="N74" s="448">
        <f t="shared" si="26"/>
        <v>0.38729285181873008</v>
      </c>
    </row>
    <row r="75" spans="1:14">
      <c r="A75" s="58" t="s">
        <v>204</v>
      </c>
      <c r="B75" s="70">
        <f t="shared" ref="B75:N75" si="27">B59/B8</f>
        <v>0.32150162124454745</v>
      </c>
      <c r="C75" s="70">
        <f t="shared" si="27"/>
        <v>0.24606385823850646</v>
      </c>
      <c r="D75" s="70">
        <f t="shared" si="27"/>
        <v>0.32081651545283724</v>
      </c>
      <c r="E75" s="70">
        <f t="shared" si="27"/>
        <v>0.30605709876543208</v>
      </c>
      <c r="F75" s="70">
        <f t="shared" si="27"/>
        <v>0.30998698158824622</v>
      </c>
      <c r="G75" s="70">
        <f t="shared" si="27"/>
        <v>0.29693246681112462</v>
      </c>
      <c r="H75" s="448">
        <f t="shared" si="27"/>
        <v>0.3656169284529121</v>
      </c>
      <c r="I75" s="449">
        <f t="shared" si="27"/>
        <v>0.34991003443122193</v>
      </c>
      <c r="J75" s="448">
        <f t="shared" si="27"/>
        <v>0.36847690972439662</v>
      </c>
      <c r="K75" s="448">
        <f t="shared" si="27"/>
        <v>0.37466396320189765</v>
      </c>
      <c r="L75" s="448">
        <f t="shared" si="27"/>
        <v>0.38047113548486178</v>
      </c>
      <c r="M75" s="448">
        <f t="shared" si="27"/>
        <v>0.38481198558518021</v>
      </c>
      <c r="N75" s="448">
        <f t="shared" si="27"/>
        <v>0.38729285181873008</v>
      </c>
    </row>
    <row r="76" spans="1:14">
      <c r="A76" s="58"/>
      <c r="H76" s="101"/>
      <c r="I76" s="190"/>
      <c r="J76" s="103"/>
      <c r="K76" s="103"/>
      <c r="L76" s="103"/>
      <c r="M76" s="103"/>
      <c r="N76" s="103"/>
    </row>
    <row r="77" spans="1:14">
      <c r="A77" s="124" t="s">
        <v>289</v>
      </c>
      <c r="H77" s="101"/>
      <c r="I77" s="190"/>
      <c r="J77" s="103"/>
      <c r="K77" s="103"/>
      <c r="L77" s="103"/>
      <c r="M77" s="103"/>
      <c r="N77" s="103"/>
    </row>
    <row r="78" spans="1:14">
      <c r="A78" s="121" t="s">
        <v>157</v>
      </c>
      <c r="H78" s="101"/>
      <c r="I78" s="190"/>
      <c r="J78" s="103"/>
      <c r="K78" s="103"/>
      <c r="L78" s="103"/>
      <c r="M78" s="103"/>
      <c r="N78" s="103"/>
    </row>
    <row r="79" spans="1:14">
      <c r="A79" s="58" t="s">
        <v>182</v>
      </c>
      <c r="B79" s="70">
        <f t="shared" ref="B79:G79" si="28">B14/B8</f>
        <v>0.39237132313363099</v>
      </c>
      <c r="C79" s="70">
        <f t="shared" si="28"/>
        <v>0.36757740719332604</v>
      </c>
      <c r="D79" s="70">
        <f t="shared" si="28"/>
        <v>0.36990315254356965</v>
      </c>
      <c r="E79" s="70">
        <f t="shared" si="28"/>
        <v>0.37461419753086422</v>
      </c>
      <c r="F79" s="70">
        <f t="shared" si="28"/>
        <v>0.36641249767528361</v>
      </c>
      <c r="G79" s="70">
        <f t="shared" si="28"/>
        <v>0.37502309825861885</v>
      </c>
      <c r="H79" s="222">
        <f>AVERAGE(B79:G79)</f>
        <v>0.37431694605588217</v>
      </c>
      <c r="I79" s="190"/>
      <c r="J79" s="188"/>
      <c r="K79" s="188"/>
      <c r="L79" s="188"/>
      <c r="M79" s="188"/>
      <c r="N79" s="188"/>
    </row>
    <row r="80" spans="1:14">
      <c r="A80" s="58"/>
      <c r="B80" s="70"/>
      <c r="C80" s="70"/>
      <c r="D80" s="70"/>
      <c r="E80" s="70"/>
      <c r="F80" s="70"/>
      <c r="G80" s="70"/>
      <c r="H80" s="101"/>
      <c r="I80" s="190"/>
      <c r="J80" s="188"/>
      <c r="K80" s="188"/>
      <c r="L80" s="188"/>
      <c r="M80" s="188"/>
      <c r="N80" s="188"/>
    </row>
    <row r="81" spans="1:42">
      <c r="A81" s="58" t="s">
        <v>183</v>
      </c>
      <c r="B81" s="70">
        <f t="shared" ref="B81:G81" si="29">B21/B8</f>
        <v>0.10239031301000308</v>
      </c>
      <c r="C81" s="70">
        <f t="shared" si="29"/>
        <v>0.10750304107390887</v>
      </c>
      <c r="D81" s="70">
        <f t="shared" si="29"/>
        <v>9.5521638679360005E-2</v>
      </c>
      <c r="E81" s="70">
        <f t="shared" si="29"/>
        <v>9.3055555555555558E-2</v>
      </c>
      <c r="F81" s="70">
        <f t="shared" si="29"/>
        <v>9.6075878742793386E-2</v>
      </c>
      <c r="G81" s="70">
        <f t="shared" si="29"/>
        <v>9.9432254104649384E-2</v>
      </c>
      <c r="H81" s="222">
        <f>AVERAGE(B81:G81)</f>
        <v>9.8996446861045043E-2</v>
      </c>
      <c r="I81" s="190"/>
      <c r="J81" s="188"/>
      <c r="K81" s="188"/>
      <c r="L81" s="188"/>
      <c r="M81" s="188"/>
      <c r="N81" s="188"/>
    </row>
    <row r="82" spans="1:42">
      <c r="A82" s="58"/>
      <c r="H82" s="101"/>
      <c r="I82" s="190"/>
      <c r="J82" s="103"/>
      <c r="K82" s="103"/>
      <c r="L82" s="103"/>
      <c r="M82" s="103"/>
      <c r="N82" s="103"/>
    </row>
    <row r="83" spans="1:42">
      <c r="A83" s="122" t="s">
        <v>173</v>
      </c>
      <c r="B83" s="123">
        <f t="shared" ref="B83:G83" si="30">B25/B8</f>
        <v>-3.3083723393719129E-2</v>
      </c>
      <c r="C83" s="123">
        <f t="shared" si="30"/>
        <v>8.556417312984739E-2</v>
      </c>
      <c r="D83" s="123">
        <f t="shared" si="30"/>
        <v>1.5254749212550553E-2</v>
      </c>
      <c r="E83" s="123">
        <f t="shared" si="30"/>
        <v>1.6589506172839507E-2</v>
      </c>
      <c r="F83" s="123">
        <f t="shared" si="30"/>
        <v>8.5921517574855874E-3</v>
      </c>
      <c r="G83" s="123">
        <f t="shared" si="30"/>
        <v>-3.3757864047874787E-3</v>
      </c>
      <c r="H83" s="222">
        <f>AVERAGE(B83:G83)</f>
        <v>1.4923511745702741E-2</v>
      </c>
      <c r="I83" s="190"/>
      <c r="J83" s="188"/>
      <c r="K83" s="188"/>
      <c r="L83" s="188"/>
      <c r="M83" s="188"/>
      <c r="N83" s="188"/>
    </row>
    <row r="84" spans="1:42">
      <c r="A84" s="58"/>
      <c r="H84" s="101"/>
      <c r="I84" s="190"/>
      <c r="J84" s="103"/>
      <c r="K84" s="103"/>
      <c r="L84" s="103"/>
      <c r="M84" s="103"/>
      <c r="N84" s="103"/>
    </row>
    <row r="85" spans="1:42" ht="28.8">
      <c r="A85" s="122" t="s">
        <v>206</v>
      </c>
      <c r="B85" s="367">
        <f t="shared" ref="B85:G85" si="31">B42/B8</f>
        <v>1.8214779377252626E-3</v>
      </c>
      <c r="C85" s="367">
        <f t="shared" si="31"/>
        <v>1.4605781922648884E-2</v>
      </c>
      <c r="D85" s="367">
        <f t="shared" si="31"/>
        <v>-9.2689566441905274E-3</v>
      </c>
      <c r="E85" s="367">
        <f t="shared" si="31"/>
        <v>-5.3626543209876545E-3</v>
      </c>
      <c r="F85" s="367">
        <f t="shared" si="31"/>
        <v>-3.2360052073647015E-3</v>
      </c>
      <c r="G85" s="367">
        <f t="shared" si="31"/>
        <v>1.6878932023937393E-3</v>
      </c>
      <c r="H85" s="222">
        <f>AVERAGE(B85:G85)</f>
        <v>4.1256148370833746E-5</v>
      </c>
      <c r="I85" s="190"/>
      <c r="J85" s="188"/>
      <c r="K85" s="188"/>
      <c r="L85" s="188"/>
      <c r="M85" s="188"/>
      <c r="N85" s="188"/>
    </row>
    <row r="86" spans="1:42" s="455" customFormat="1" ht="28.8">
      <c r="A86" s="450" t="s">
        <v>292</v>
      </c>
      <c r="B86" s="451"/>
      <c r="C86" s="451"/>
      <c r="D86" s="451"/>
      <c r="E86" s="451"/>
      <c r="F86" s="451"/>
      <c r="G86" s="451"/>
      <c r="H86" s="452"/>
      <c r="I86" s="453"/>
      <c r="J86" s="454"/>
      <c r="K86" s="454"/>
      <c r="L86" s="454"/>
      <c r="M86" s="454"/>
      <c r="N86" s="454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>
      <c r="A87" s="122"/>
      <c r="B87" s="70"/>
      <c r="C87" s="70"/>
      <c r="D87" s="70"/>
      <c r="E87" s="70"/>
      <c r="F87" s="70"/>
      <c r="G87" s="70"/>
      <c r="H87" s="101"/>
      <c r="I87" s="190"/>
      <c r="J87" s="188"/>
      <c r="K87" s="188"/>
      <c r="L87" s="188"/>
      <c r="M87" s="188"/>
      <c r="N87" s="188"/>
    </row>
    <row r="88" spans="1:42">
      <c r="A88" s="58"/>
      <c r="B88" s="76"/>
      <c r="C88" s="76"/>
      <c r="D88" s="76"/>
      <c r="E88" s="76"/>
      <c r="F88" s="76"/>
      <c r="G88" s="76"/>
      <c r="H88" s="101"/>
      <c r="I88" s="190"/>
      <c r="J88" s="103"/>
      <c r="K88" s="103"/>
      <c r="L88" s="103"/>
      <c r="M88" s="103"/>
      <c r="N88" s="103"/>
    </row>
    <row r="89" spans="1:42">
      <c r="A89" s="58" t="s">
        <v>284</v>
      </c>
      <c r="B89" s="70">
        <f>B49/B45</f>
        <v>0.20681192831114747</v>
      </c>
      <c r="C89" s="70">
        <f t="shared" ref="C89:G89" si="32">C49/C45</f>
        <v>0.16301317604249202</v>
      </c>
      <c r="D89" s="70">
        <f t="shared" si="32"/>
        <v>0.2006802056253788</v>
      </c>
      <c r="E89" s="70">
        <f t="shared" si="32"/>
        <v>0.21096081161726676</v>
      </c>
      <c r="F89" s="70">
        <f t="shared" si="32"/>
        <v>0.21878515185601799</v>
      </c>
      <c r="G89" s="70">
        <f t="shared" si="32"/>
        <v>0.22412814576426601</v>
      </c>
      <c r="H89" s="222">
        <f>AVERAGE(B89:G89)</f>
        <v>0.20406323653609484</v>
      </c>
      <c r="I89" s="190"/>
      <c r="J89" s="188"/>
      <c r="K89" s="188"/>
      <c r="L89" s="188"/>
      <c r="M89" s="188"/>
      <c r="N89" s="188"/>
    </row>
    <row r="90" spans="1:42">
      <c r="A90" s="125"/>
      <c r="H90" s="101"/>
      <c r="I90" s="190"/>
      <c r="J90" s="103"/>
      <c r="K90" s="103"/>
      <c r="L90" s="103"/>
      <c r="M90" s="103"/>
      <c r="N90" s="103"/>
    </row>
    <row r="91" spans="1:42">
      <c r="A91" s="58" t="s">
        <v>184</v>
      </c>
      <c r="B91" s="70">
        <f>B56/B52</f>
        <v>0</v>
      </c>
      <c r="C91" s="70">
        <f t="shared" ref="C91:G91" si="33">C56/C52</f>
        <v>0</v>
      </c>
      <c r="D91" s="70">
        <f t="shared" si="33"/>
        <v>0</v>
      </c>
      <c r="E91" s="70">
        <f t="shared" si="33"/>
        <v>0</v>
      </c>
      <c r="F91" s="70">
        <f t="shared" si="33"/>
        <v>0</v>
      </c>
      <c r="G91" s="70">
        <f t="shared" si="33"/>
        <v>0</v>
      </c>
      <c r="H91" s="222">
        <f>AVERAGE(B91:G91)</f>
        <v>0</v>
      </c>
      <c r="I91" s="190"/>
      <c r="J91" s="188"/>
      <c r="K91" s="188"/>
      <c r="L91" s="188"/>
      <c r="M91" s="188"/>
      <c r="N91" s="188"/>
    </row>
    <row r="92" spans="1:42">
      <c r="A92" s="114"/>
      <c r="H92" s="101"/>
      <c r="I92" s="190"/>
      <c r="J92" s="103"/>
      <c r="K92" s="103"/>
      <c r="L92" s="103"/>
      <c r="M92" s="103"/>
      <c r="N92" s="103"/>
    </row>
    <row r="93" spans="1:42">
      <c r="A93" s="58" t="s">
        <v>207</v>
      </c>
      <c r="B93" s="70">
        <f>B61/B59</f>
        <v>0.52484530283142694</v>
      </c>
      <c r="C93" s="70">
        <f t="shared" ref="C93:G93" si="34">C61/C59</f>
        <v>0.73069910945936467</v>
      </c>
      <c r="D93" s="70">
        <f t="shared" si="34"/>
        <v>0.5542133320291488</v>
      </c>
      <c r="E93" s="70">
        <f t="shared" si="34"/>
        <v>0.61389133997226775</v>
      </c>
      <c r="F93" s="70">
        <f t="shared" si="34"/>
        <v>0.6137508999280058</v>
      </c>
      <c r="G93" s="70">
        <f t="shared" si="34"/>
        <v>0.68368245809281358</v>
      </c>
      <c r="H93" s="222">
        <f>AVERAGE(B93:G93)</f>
        <v>0.62018040705217137</v>
      </c>
      <c r="I93" s="190"/>
      <c r="J93" s="120"/>
      <c r="K93" s="120"/>
      <c r="L93" s="120"/>
      <c r="M93" s="120"/>
      <c r="N93" s="120"/>
    </row>
    <row r="94" spans="1:42">
      <c r="A94" s="126"/>
      <c r="B94" s="192"/>
      <c r="C94" s="192"/>
      <c r="D94" s="192"/>
      <c r="E94" s="192"/>
      <c r="F94" s="192"/>
      <c r="G94" s="192"/>
      <c r="H94" s="101"/>
      <c r="I94" s="190"/>
      <c r="J94" s="188"/>
      <c r="K94" s="188"/>
      <c r="L94" s="188"/>
      <c r="M94" s="188"/>
      <c r="N94" s="188"/>
    </row>
    <row r="95" spans="1:42">
      <c r="A95" s="111" t="s">
        <v>25</v>
      </c>
      <c r="B95">
        <f>Raw!C84</f>
        <v>139.19999999999999</v>
      </c>
      <c r="C95">
        <f>Raw!D84</f>
        <v>166.7</v>
      </c>
      <c r="D95">
        <f>Raw!E84</f>
        <v>175.2</v>
      </c>
      <c r="E95">
        <f>Raw!F84</f>
        <v>172</v>
      </c>
      <c r="F95">
        <f>Raw!G84</f>
        <v>165</v>
      </c>
      <c r="G95">
        <f>Raw!H84</f>
        <v>60</v>
      </c>
      <c r="H95" s="372">
        <f>(H14+H21)*H96</f>
        <v>154.11793791362328</v>
      </c>
      <c r="I95" s="190">
        <f>H95+G95</f>
        <v>214.11793791362328</v>
      </c>
      <c r="J95" s="372">
        <f>(J14+J21)*$H$96</f>
        <v>211.79979668185857</v>
      </c>
      <c r="K95" s="372">
        <f t="shared" ref="K95:N95" si="35">(K14+K21)*$H$96</f>
        <v>224.50778448277009</v>
      </c>
      <c r="L95" s="372">
        <f t="shared" si="35"/>
        <v>237.97825155173635</v>
      </c>
      <c r="M95" s="372">
        <f t="shared" si="35"/>
        <v>252.25694664484055</v>
      </c>
      <c r="N95" s="372">
        <f t="shared" si="35"/>
        <v>267.392363443531</v>
      </c>
    </row>
    <row r="96" spans="1:42">
      <c r="A96" s="58" t="s">
        <v>293</v>
      </c>
      <c r="B96" s="70">
        <f t="shared" ref="B96:G96" si="36">B95/(B14+B21)</f>
        <v>1.2115093387178193E-2</v>
      </c>
      <c r="C96" s="70">
        <f t="shared" si="36"/>
        <v>1.5135832062177673E-2</v>
      </c>
      <c r="D96" s="70">
        <f t="shared" si="36"/>
        <v>1.4765621049437858E-2</v>
      </c>
      <c r="E96" s="70">
        <f t="shared" si="36"/>
        <v>1.4189077709948853E-2</v>
      </c>
      <c r="F96" s="70">
        <f t="shared" si="36"/>
        <v>1.327006594820653E-2</v>
      </c>
      <c r="G96" s="70">
        <f t="shared" si="36"/>
        <v>1.9404755682523762E-2</v>
      </c>
      <c r="H96" s="222">
        <f>AVERAGE(B96:G96)</f>
        <v>1.4813407639912143E-2</v>
      </c>
      <c r="I96" s="190"/>
      <c r="J96" s="188"/>
      <c r="K96" s="188"/>
      <c r="L96" s="188"/>
      <c r="M96" s="188"/>
      <c r="N96" s="188"/>
    </row>
    <row r="97" spans="1:11">
      <c r="A97" s="58"/>
      <c r="B97" s="70"/>
      <c r="C97" s="70"/>
      <c r="D97" s="70"/>
      <c r="E97" s="70"/>
      <c r="F97" s="70"/>
      <c r="G97" s="70"/>
    </row>
    <row r="98" spans="1:11">
      <c r="A98" s="126"/>
    </row>
    <row r="100" spans="1:11">
      <c r="A100" s="235"/>
    </row>
    <row r="101" spans="1:11" ht="15.6">
      <c r="A101" s="235"/>
      <c r="K101" s="373"/>
    </row>
    <row r="102" spans="1:11">
      <c r="A102" s="235"/>
      <c r="D102" s="371"/>
    </row>
    <row r="103" spans="1:11">
      <c r="A103" s="235"/>
    </row>
    <row r="106" spans="1:11">
      <c r="A106" s="235"/>
    </row>
    <row r="108" spans="1:11">
      <c r="A108" s="235"/>
    </row>
    <row r="109" spans="1:11">
      <c r="A109" s="235"/>
    </row>
    <row r="112" spans="1:11">
      <c r="A112" s="235"/>
    </row>
  </sheetData>
  <mergeCells count="2">
    <mergeCell ref="G1:G2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0"/>
  <sheetViews>
    <sheetView showGridLines="0" zoomScaleNormal="100" workbookViewId="0">
      <pane xSplit="1" ySplit="4" topLeftCell="B60" activePane="bottomRight" state="frozen"/>
      <selection pane="topRight" activeCell="B1" sqref="B1"/>
      <selection pane="bottomLeft" activeCell="A5" sqref="A5"/>
      <selection pane="bottomRight" activeCell="N31" sqref="N31"/>
    </sheetView>
  </sheetViews>
  <sheetFormatPr defaultColWidth="8.6640625" defaultRowHeight="14.4"/>
  <cols>
    <col min="1" max="1" width="38.109375" customWidth="1"/>
    <col min="2" max="3" width="11.109375" customWidth="1"/>
    <col min="4" max="4" width="10.88671875" customWidth="1"/>
    <col min="5" max="7" width="11.109375" customWidth="1"/>
    <col min="8" max="8" width="11.33203125" customWidth="1"/>
    <col min="9" max="9" width="10.88671875" customWidth="1"/>
    <col min="10" max="10" width="10.109375" customWidth="1"/>
    <col min="11" max="11" width="10.5546875" customWidth="1"/>
    <col min="12" max="12" width="10.109375" customWidth="1"/>
    <col min="13" max="13" width="10.33203125" customWidth="1"/>
    <col min="14" max="14" width="8.6640625" style="465"/>
  </cols>
  <sheetData>
    <row r="1" spans="1:15">
      <c r="A1" s="56" t="s">
        <v>406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5">
      <c r="A2" s="58" t="s">
        <v>13</v>
      </c>
      <c r="B2" s="100"/>
      <c r="C2" s="100"/>
      <c r="D2" s="100"/>
      <c r="E2" s="57"/>
      <c r="F2" s="57"/>
      <c r="G2" s="57"/>
      <c r="H2" s="57"/>
      <c r="I2" s="57"/>
      <c r="J2" s="57"/>
      <c r="K2" s="57"/>
      <c r="L2" s="57"/>
    </row>
    <row r="3" spans="1:15">
      <c r="A3" s="194" t="s">
        <v>169</v>
      </c>
      <c r="B3" s="143">
        <v>12</v>
      </c>
      <c r="C3" s="143">
        <v>12</v>
      </c>
      <c r="D3" s="143">
        <v>12</v>
      </c>
      <c r="E3" s="143">
        <v>12</v>
      </c>
      <c r="F3" s="143">
        <v>12</v>
      </c>
      <c r="G3" s="143">
        <v>3</v>
      </c>
      <c r="H3" s="153">
        <v>9</v>
      </c>
      <c r="I3" s="153">
        <v>12</v>
      </c>
      <c r="J3" s="153">
        <v>12</v>
      </c>
      <c r="K3" s="153">
        <v>12</v>
      </c>
      <c r="L3" s="153">
        <v>12</v>
      </c>
      <c r="M3" s="153">
        <v>12</v>
      </c>
      <c r="O3" s="60"/>
    </row>
    <row r="4" spans="1:15">
      <c r="A4" s="61"/>
      <c r="B4" s="154">
        <v>44561</v>
      </c>
      <c r="C4" s="154">
        <v>44926</v>
      </c>
      <c r="D4" s="154">
        <v>45291</v>
      </c>
      <c r="E4" s="154">
        <v>45657</v>
      </c>
      <c r="F4" s="154">
        <v>46022</v>
      </c>
      <c r="G4" s="154">
        <v>46112</v>
      </c>
      <c r="H4" s="155">
        <v>46387</v>
      </c>
      <c r="I4" s="155">
        <v>46752</v>
      </c>
      <c r="J4" s="155">
        <v>47118</v>
      </c>
      <c r="K4" s="155">
        <v>47483</v>
      </c>
      <c r="L4" s="155">
        <v>47848</v>
      </c>
      <c r="M4" s="155">
        <v>48213</v>
      </c>
      <c r="O4" s="62"/>
    </row>
    <row r="5" spans="1:15">
      <c r="H5" s="103"/>
      <c r="I5" s="103"/>
      <c r="J5" s="103"/>
      <c r="K5" s="103"/>
      <c r="L5" s="103"/>
      <c r="M5" s="103"/>
    </row>
    <row r="6" spans="1:15">
      <c r="A6" s="102" t="s">
        <v>27</v>
      </c>
      <c r="H6" s="103"/>
      <c r="I6" s="103"/>
      <c r="J6" s="103"/>
      <c r="K6" s="103"/>
      <c r="L6" s="103"/>
      <c r="M6" s="103"/>
    </row>
    <row r="7" spans="1:15">
      <c r="A7" s="92" t="s">
        <v>28</v>
      </c>
      <c r="B7" s="460">
        <f>Raw!C91</f>
        <v>4709.2</v>
      </c>
      <c r="C7" s="460">
        <f>Raw!D91</f>
        <v>2583.8000000000002</v>
      </c>
      <c r="D7" s="460">
        <f>Raw!E91</f>
        <v>4579.3</v>
      </c>
      <c r="E7" s="460">
        <f>Raw!F91</f>
        <v>1085</v>
      </c>
      <c r="F7" s="460">
        <f>Raw!G91</f>
        <v>774</v>
      </c>
      <c r="G7" s="460">
        <f>Raw!H91</f>
        <v>1170</v>
      </c>
      <c r="H7" s="495">
        <f>'McD-CFS'!H28</f>
        <v>3645.6942959668077</v>
      </c>
      <c r="I7" s="495">
        <f>'McD-CFS'!I28</f>
        <v>3738.8672883692061</v>
      </c>
      <c r="J7" s="495">
        <f>'McD-CFS'!J28</f>
        <v>2088.4861753682335</v>
      </c>
      <c r="K7" s="495">
        <f>'McD-CFS'!K28</f>
        <v>2204.580439582086</v>
      </c>
      <c r="L7" s="495">
        <f>'McD-CFS'!L28</f>
        <v>3186.2443753033649</v>
      </c>
      <c r="M7" s="495">
        <f>'McD-CFS'!M28</f>
        <v>7412.6226720352142</v>
      </c>
    </row>
    <row r="8" spans="1:15">
      <c r="A8" s="102" t="s">
        <v>29</v>
      </c>
      <c r="B8" s="232">
        <f>Raw!C92</f>
        <v>4709.2</v>
      </c>
      <c r="C8" s="232">
        <f>Raw!D92</f>
        <v>2583.8000000000002</v>
      </c>
      <c r="D8" s="232">
        <f>Raw!E92</f>
        <v>4579.3</v>
      </c>
      <c r="E8" s="232">
        <f>Raw!F92</f>
        <v>1085</v>
      </c>
      <c r="F8" s="232">
        <f>Raw!G92</f>
        <v>774</v>
      </c>
      <c r="G8" s="232">
        <f>Raw!H92</f>
        <v>1170</v>
      </c>
      <c r="H8" s="459">
        <f>H7</f>
        <v>3645.6942959668077</v>
      </c>
      <c r="I8" s="459">
        <f t="shared" ref="I8:M8" si="0">I7</f>
        <v>3738.8672883692061</v>
      </c>
      <c r="J8" s="459">
        <f t="shared" si="0"/>
        <v>2088.4861753682335</v>
      </c>
      <c r="K8" s="459">
        <f t="shared" si="0"/>
        <v>2204.580439582086</v>
      </c>
      <c r="L8" s="459">
        <f t="shared" si="0"/>
        <v>3186.2443753033649</v>
      </c>
      <c r="M8" s="459">
        <f t="shared" si="0"/>
        <v>7412.6226720352142</v>
      </c>
    </row>
    <row r="9" spans="1:15">
      <c r="A9" s="92" t="s">
        <v>329</v>
      </c>
      <c r="B9" s="104">
        <f>Raw!C93</f>
        <v>1872.4</v>
      </c>
      <c r="C9" s="104">
        <f>Raw!D93</f>
        <v>2115</v>
      </c>
      <c r="D9" s="104">
        <f>Raw!E93</f>
        <v>2488</v>
      </c>
      <c r="E9" s="104">
        <f>Raw!F93</f>
        <v>2383</v>
      </c>
      <c r="F9" s="104">
        <f>Raw!G93</f>
        <v>2466</v>
      </c>
      <c r="G9" s="104">
        <f>Raw!H93</f>
        <v>2432</v>
      </c>
      <c r="H9" s="106">
        <f>H56</f>
        <v>2653.7836385497926</v>
      </c>
      <c r="I9" s="106">
        <f t="shared" ref="I9:M9" si="1">I56</f>
        <v>2813.0106568627803</v>
      </c>
      <c r="J9" s="106">
        <f t="shared" si="1"/>
        <v>2981.7912962745472</v>
      </c>
      <c r="K9" s="106">
        <f t="shared" si="1"/>
        <v>3160.6987740510208</v>
      </c>
      <c r="L9" s="106">
        <f t="shared" si="1"/>
        <v>3350.3407004940823</v>
      </c>
      <c r="M9" s="106">
        <f t="shared" si="1"/>
        <v>3551.3611425237273</v>
      </c>
    </row>
    <row r="10" spans="1:15">
      <c r="A10" s="92" t="s">
        <v>31</v>
      </c>
      <c r="B10" s="104">
        <f>Raw!C94</f>
        <v>55.6</v>
      </c>
      <c r="C10" s="104">
        <f>Raw!D94</f>
        <v>52</v>
      </c>
      <c r="D10" s="104">
        <f>Raw!E94</f>
        <v>52.8</v>
      </c>
      <c r="E10" s="104">
        <f>Raw!F94</f>
        <v>56</v>
      </c>
      <c r="F10" s="104">
        <f>Raw!G94</f>
        <v>61</v>
      </c>
      <c r="G10" s="104">
        <f>Raw!H94</f>
        <v>61</v>
      </c>
      <c r="H10" s="106">
        <f>H58</f>
        <v>63.525000265320806</v>
      </c>
      <c r="I10" s="106">
        <f t="shared" ref="I10:M10" si="2">I58</f>
        <v>67.307463139387437</v>
      </c>
      <c r="J10" s="106">
        <f t="shared" si="2"/>
        <v>71.34591092775068</v>
      </c>
      <c r="K10" s="106">
        <f t="shared" si="2"/>
        <v>75.626665583415729</v>
      </c>
      <c r="L10" s="106">
        <f t="shared" si="2"/>
        <v>80.164265518420677</v>
      </c>
      <c r="M10" s="106">
        <f t="shared" si="2"/>
        <v>84.974121449525924</v>
      </c>
    </row>
    <row r="11" spans="1:15">
      <c r="A11" s="92" t="s">
        <v>51</v>
      </c>
      <c r="B11" s="104">
        <f>Raw!C95</f>
        <v>511.3</v>
      </c>
      <c r="C11" s="104">
        <f>Raw!D95</f>
        <v>673.4</v>
      </c>
      <c r="D11" s="104">
        <f>Raw!E95</f>
        <v>866.3</v>
      </c>
      <c r="E11" s="104">
        <f>Raw!F95</f>
        <v>1074</v>
      </c>
      <c r="F11" s="104">
        <f>Raw!G95</f>
        <v>863</v>
      </c>
      <c r="G11" s="104">
        <f>Raw!H95</f>
        <v>1046</v>
      </c>
      <c r="H11" s="106">
        <f>H60</f>
        <v>903.65837366556127</v>
      </c>
      <c r="I11" s="106">
        <f t="shared" ref="I11:M11" si="3">I60</f>
        <v>957.87787608549502</v>
      </c>
      <c r="J11" s="106">
        <f t="shared" si="3"/>
        <v>1015.3505486506248</v>
      </c>
      <c r="K11" s="106">
        <f t="shared" si="3"/>
        <v>1076.2715815696624</v>
      </c>
      <c r="L11" s="106">
        <f t="shared" si="3"/>
        <v>1140.8478764638423</v>
      </c>
      <c r="M11" s="106">
        <f t="shared" si="3"/>
        <v>1209.2987490516728</v>
      </c>
    </row>
    <row r="12" spans="1:15" s="53" customFormat="1">
      <c r="A12" s="102" t="s">
        <v>32</v>
      </c>
      <c r="B12" s="232">
        <f>SUM(B8:B11)</f>
        <v>7148.5000000000009</v>
      </c>
      <c r="C12" s="232">
        <f t="shared" ref="C12:G12" si="4">SUM(C8:C11)</f>
        <v>5424.2</v>
      </c>
      <c r="D12" s="232">
        <f t="shared" si="4"/>
        <v>7986.4000000000005</v>
      </c>
      <c r="E12" s="232">
        <f t="shared" si="4"/>
        <v>4598</v>
      </c>
      <c r="F12" s="232">
        <f t="shared" si="4"/>
        <v>4164</v>
      </c>
      <c r="G12" s="232">
        <f t="shared" si="4"/>
        <v>4709</v>
      </c>
      <c r="H12" s="232">
        <f>SUM(H8:H11)</f>
        <v>7266.661308447483</v>
      </c>
      <c r="I12" s="232">
        <f t="shared" ref="I12:M12" si="5">SUM(I8:I11)</f>
        <v>7577.063284456869</v>
      </c>
      <c r="J12" s="232">
        <f t="shared" si="5"/>
        <v>6156.9739312211568</v>
      </c>
      <c r="K12" s="232">
        <f t="shared" si="5"/>
        <v>6517.1774607861844</v>
      </c>
      <c r="L12" s="232">
        <f t="shared" si="5"/>
        <v>7757.5972177797103</v>
      </c>
      <c r="M12" s="232">
        <f t="shared" si="5"/>
        <v>12258.256685060142</v>
      </c>
      <c r="N12" s="465"/>
    </row>
    <row r="13" spans="1:15">
      <c r="A13" s="356" t="s">
        <v>381</v>
      </c>
      <c r="B13" s="104">
        <f>Raw!C97</f>
        <v>1201.2</v>
      </c>
      <c r="C13" s="104">
        <f>Raw!D97</f>
        <v>1064.5</v>
      </c>
      <c r="D13" s="104">
        <f>Raw!E97</f>
        <v>1080.2</v>
      </c>
      <c r="E13" s="104">
        <f>Raw!F97</f>
        <v>2710</v>
      </c>
      <c r="F13" s="104">
        <f>Raw!G97</f>
        <v>2820</v>
      </c>
      <c r="G13" s="104">
        <f>Raw!H97</f>
        <v>2865</v>
      </c>
      <c r="H13" s="106">
        <f>G13</f>
        <v>2865</v>
      </c>
      <c r="I13" s="106">
        <f t="shared" ref="I13:M13" si="6">H13</f>
        <v>2865</v>
      </c>
      <c r="J13" s="106">
        <f t="shared" si="6"/>
        <v>2865</v>
      </c>
      <c r="K13" s="106">
        <f t="shared" si="6"/>
        <v>2865</v>
      </c>
      <c r="L13" s="106">
        <f t="shared" si="6"/>
        <v>2865</v>
      </c>
      <c r="M13" s="106">
        <f t="shared" si="6"/>
        <v>2865</v>
      </c>
    </row>
    <row r="14" spans="1:15">
      <c r="A14" s="92" t="s">
        <v>330</v>
      </c>
      <c r="B14" s="104">
        <f>Raw!C98</f>
        <v>24720.6</v>
      </c>
      <c r="C14" s="104">
        <f>Raw!D98</f>
        <v>23773.599999999999</v>
      </c>
      <c r="D14" s="104">
        <f>Raw!E98</f>
        <v>24907.599999999999</v>
      </c>
      <c r="E14" s="104">
        <f>Raw!F98</f>
        <v>25295</v>
      </c>
      <c r="F14" s="104">
        <f>Raw!G98</f>
        <v>28241</v>
      </c>
      <c r="G14" s="104">
        <f>Raw!H98</f>
        <v>28245</v>
      </c>
      <c r="H14" s="106">
        <f>'Fixed Assets Schedule'!H10</f>
        <v>29009.046962106113</v>
      </c>
      <c r="I14" s="106">
        <f>'Fixed Assets Schedule'!I10</f>
        <v>30009.011110138556</v>
      </c>
      <c r="J14" s="106">
        <f>'Fixed Assets Schedule'!J10</f>
        <v>31120.946809155303</v>
      </c>
      <c r="K14" s="106">
        <f>'Fixed Assets Schedule'!K10</f>
        <v>32347.924845447033</v>
      </c>
      <c r="L14" s="106">
        <f>'Fixed Assets Schedule'!L10</f>
        <v>33693.456233970341</v>
      </c>
      <c r="M14" s="106">
        <f>'Fixed Assets Schedule'!M10</f>
        <v>35161.500667324472</v>
      </c>
    </row>
    <row r="15" spans="1:15">
      <c r="A15" s="92" t="s">
        <v>33</v>
      </c>
      <c r="B15" s="104">
        <f>Raw!C99</f>
        <v>2782.5</v>
      </c>
      <c r="C15" s="104">
        <f>Raw!D99</f>
        <v>2900.4</v>
      </c>
      <c r="D15" s="104">
        <f>Raw!E99</f>
        <v>3040.4</v>
      </c>
      <c r="E15" s="104">
        <f>Raw!F99</f>
        <v>3145</v>
      </c>
      <c r="F15" s="104">
        <f>Raw!G99</f>
        <v>3354</v>
      </c>
      <c r="G15" s="104">
        <f>Raw!H99</f>
        <v>3349</v>
      </c>
      <c r="H15" s="106">
        <f>G15</f>
        <v>3349</v>
      </c>
      <c r="I15" s="106">
        <f t="shared" ref="I15:M15" si="7">H15</f>
        <v>3349</v>
      </c>
      <c r="J15" s="106">
        <f t="shared" si="7"/>
        <v>3349</v>
      </c>
      <c r="K15" s="106">
        <f t="shared" si="7"/>
        <v>3349</v>
      </c>
      <c r="L15" s="106">
        <f t="shared" si="7"/>
        <v>3349</v>
      </c>
      <c r="M15" s="106">
        <f t="shared" si="7"/>
        <v>3349</v>
      </c>
    </row>
    <row r="16" spans="1:15">
      <c r="A16" s="92" t="s">
        <v>287</v>
      </c>
      <c r="B16" s="104">
        <f>Raw!C100</f>
        <v>18001.5</v>
      </c>
      <c r="C16" s="104">
        <f>Raw!D100</f>
        <v>17272.900000000001</v>
      </c>
      <c r="D16" s="104">
        <f>Raw!E100</f>
        <v>19132.2</v>
      </c>
      <c r="E16" s="104">
        <f>Raw!F100+2</f>
        <v>19436</v>
      </c>
      <c r="F16" s="104">
        <f>Raw!G100+1</f>
        <v>20938</v>
      </c>
      <c r="G16" s="104">
        <f>Raw!H100+1</f>
        <v>20871</v>
      </c>
      <c r="H16" s="106">
        <f>G16</f>
        <v>20871</v>
      </c>
      <c r="I16" s="106">
        <f t="shared" ref="I16:M16" si="8">H16</f>
        <v>20871</v>
      </c>
      <c r="J16" s="106">
        <f t="shared" si="8"/>
        <v>20871</v>
      </c>
      <c r="K16" s="106">
        <f t="shared" si="8"/>
        <v>20871</v>
      </c>
      <c r="L16" s="106">
        <f t="shared" si="8"/>
        <v>20871</v>
      </c>
      <c r="M16" s="106">
        <f t="shared" si="8"/>
        <v>20871</v>
      </c>
    </row>
    <row r="17" spans="1:14">
      <c r="A17" s="92" t="s">
        <v>385</v>
      </c>
      <c r="B17" s="104">
        <f>Raw!C101</f>
        <v>0</v>
      </c>
      <c r="C17" s="104">
        <f>Raw!D101</f>
        <v>0</v>
      </c>
      <c r="D17" s="104">
        <f>Raw!E101</f>
        <v>0</v>
      </c>
      <c r="E17" s="104">
        <f>Raw!F101</f>
        <v>0</v>
      </c>
      <c r="F17" s="104">
        <f>Raw!G101</f>
        <v>0</v>
      </c>
      <c r="G17" s="104">
        <f>Raw!H101</f>
        <v>0</v>
      </c>
      <c r="H17" s="106">
        <v>0</v>
      </c>
      <c r="I17" s="106">
        <v>0</v>
      </c>
      <c r="J17" s="106">
        <v>0</v>
      </c>
      <c r="K17" s="106">
        <v>0</v>
      </c>
      <c r="L17" s="106">
        <v>0</v>
      </c>
      <c r="M17" s="106">
        <v>0</v>
      </c>
    </row>
    <row r="18" spans="1:14" s="53" customFormat="1" ht="15" thickBot="1">
      <c r="A18" s="102" t="s">
        <v>34</v>
      </c>
      <c r="B18" s="233">
        <f>SUM(B12:B17)</f>
        <v>53854.3</v>
      </c>
      <c r="C18" s="233">
        <f t="shared" ref="C18:G18" si="9">SUM(C12:C17)</f>
        <v>50435.6</v>
      </c>
      <c r="D18" s="233">
        <f t="shared" si="9"/>
        <v>56146.8</v>
      </c>
      <c r="E18" s="233">
        <f t="shared" si="9"/>
        <v>55184</v>
      </c>
      <c r="F18" s="233">
        <f t="shared" si="9"/>
        <v>59517</v>
      </c>
      <c r="G18" s="233">
        <f t="shared" si="9"/>
        <v>60039</v>
      </c>
      <c r="H18" s="233">
        <f>SUM(H12:H17)</f>
        <v>63360.708270553594</v>
      </c>
      <c r="I18" s="233">
        <f t="shared" ref="I18:M18" si="10">SUM(I12:I17)</f>
        <v>64671.074394595424</v>
      </c>
      <c r="J18" s="233">
        <f t="shared" si="10"/>
        <v>64362.920740376459</v>
      </c>
      <c r="K18" s="233">
        <f t="shared" si="10"/>
        <v>65950.102306233224</v>
      </c>
      <c r="L18" s="233">
        <f t="shared" si="10"/>
        <v>68536.053451750049</v>
      </c>
      <c r="M18" s="233">
        <f t="shared" si="10"/>
        <v>74504.757352384622</v>
      </c>
      <c r="N18" s="465"/>
    </row>
    <row r="19" spans="1:14" ht="15" thickTop="1">
      <c r="A19" s="92"/>
      <c r="B19" s="104"/>
      <c r="C19" s="104"/>
      <c r="D19" s="104"/>
      <c r="E19" s="104"/>
      <c r="F19" s="104"/>
      <c r="G19" s="104"/>
      <c r="H19" s="103"/>
      <c r="I19" s="103"/>
      <c r="J19" s="103"/>
      <c r="K19" s="103"/>
      <c r="L19" s="103"/>
      <c r="M19" s="103"/>
    </row>
    <row r="20" spans="1:14">
      <c r="A20" s="102" t="s">
        <v>35</v>
      </c>
      <c r="B20" s="104"/>
      <c r="C20" s="104"/>
      <c r="D20" s="104"/>
      <c r="E20" s="104"/>
      <c r="F20" s="104"/>
      <c r="G20" s="104"/>
      <c r="H20" s="103"/>
      <c r="I20" s="103"/>
      <c r="J20" s="103"/>
      <c r="K20" s="103"/>
      <c r="L20" s="103"/>
      <c r="M20" s="103"/>
    </row>
    <row r="21" spans="1:14">
      <c r="A21" s="92" t="s">
        <v>36</v>
      </c>
      <c r="B21" s="104">
        <f>Raw!C105</f>
        <v>1006.8</v>
      </c>
      <c r="C21" s="104">
        <f>Raw!D105</f>
        <v>980.2</v>
      </c>
      <c r="D21" s="104">
        <f>Raw!E105</f>
        <v>1102.9000000000001</v>
      </c>
      <c r="E21" s="104">
        <f>Raw!F105</f>
        <v>1029</v>
      </c>
      <c r="F21" s="104">
        <f>Raw!G105</f>
        <v>1149</v>
      </c>
      <c r="G21" s="104">
        <f>Raw!H105</f>
        <v>1091</v>
      </c>
      <c r="H21" s="106">
        <f>H64</f>
        <v>1206.1085421024864</v>
      </c>
      <c r="I21" s="106">
        <f t="shared" ref="I21:M21" si="11">I64</f>
        <v>1277.923744991793</v>
      </c>
      <c r="J21" s="106">
        <f t="shared" si="11"/>
        <v>1354.5991696913006</v>
      </c>
      <c r="K21" s="106">
        <f t="shared" si="11"/>
        <v>1435.8751198727789</v>
      </c>
      <c r="L21" s="106">
        <f t="shared" si="11"/>
        <v>1522.0276270651457</v>
      </c>
      <c r="M21" s="106">
        <f t="shared" si="11"/>
        <v>1613.3492846890545</v>
      </c>
    </row>
    <row r="22" spans="1:14">
      <c r="A22" s="92" t="s">
        <v>383</v>
      </c>
      <c r="B22" s="104">
        <f>Raw!C106</f>
        <v>363.3</v>
      </c>
      <c r="C22" s="104">
        <f>Raw!D106</f>
        <v>393.4</v>
      </c>
      <c r="D22" s="104">
        <f>Raw!E106</f>
        <v>468.9</v>
      </c>
      <c r="E22" s="104">
        <f>Raw!F106</f>
        <v>482</v>
      </c>
      <c r="F22" s="104">
        <f>Raw!G106</f>
        <v>533</v>
      </c>
      <c r="G22" s="104">
        <f>Raw!H106</f>
        <v>448</v>
      </c>
      <c r="H22" s="106">
        <f>G22</f>
        <v>448</v>
      </c>
      <c r="I22" s="106">
        <f t="shared" ref="I22:M22" si="12">H22</f>
        <v>448</v>
      </c>
      <c r="J22" s="106">
        <f t="shared" si="12"/>
        <v>448</v>
      </c>
      <c r="K22" s="106">
        <f t="shared" si="12"/>
        <v>448</v>
      </c>
      <c r="L22" s="106">
        <f t="shared" si="12"/>
        <v>448</v>
      </c>
      <c r="M22" s="106">
        <f t="shared" si="12"/>
        <v>448</v>
      </c>
    </row>
    <row r="23" spans="1:14">
      <c r="A23" s="92" t="s">
        <v>382</v>
      </c>
      <c r="B23" s="104">
        <f>Raw!C107</f>
        <v>1347</v>
      </c>
      <c r="C23" s="104">
        <f>Raw!D107</f>
        <v>1237.4000000000001</v>
      </c>
      <c r="D23" s="104">
        <f>Raw!E107</f>
        <v>1433.6</v>
      </c>
      <c r="E23" s="104">
        <f>Raw!F107</f>
        <v>1129</v>
      </c>
      <c r="F23" s="104">
        <f>Raw!G107</f>
        <v>1488</v>
      </c>
      <c r="G23" s="104">
        <f>Raw!H107</f>
        <v>1257</v>
      </c>
      <c r="H23" s="106">
        <f>G23</f>
        <v>1257</v>
      </c>
      <c r="I23" s="106">
        <f t="shared" ref="I23:M23" si="13">H23</f>
        <v>1257</v>
      </c>
      <c r="J23" s="106">
        <f t="shared" si="13"/>
        <v>1257</v>
      </c>
      <c r="K23" s="106">
        <f t="shared" si="13"/>
        <v>1257</v>
      </c>
      <c r="L23" s="106">
        <f t="shared" si="13"/>
        <v>1257</v>
      </c>
      <c r="M23" s="106">
        <f t="shared" si="13"/>
        <v>1257</v>
      </c>
    </row>
    <row r="24" spans="1:14" ht="28.8">
      <c r="A24" s="356" t="s">
        <v>391</v>
      </c>
      <c r="B24" s="104">
        <f>Raw!C108</f>
        <v>0</v>
      </c>
      <c r="C24" s="104">
        <f>Raw!D108</f>
        <v>0</v>
      </c>
      <c r="D24" s="104">
        <f>Raw!E108</f>
        <v>2192.4</v>
      </c>
      <c r="E24" s="104">
        <f>Raw!F108</f>
        <v>0</v>
      </c>
      <c r="F24" s="104">
        <f>Raw!G108</f>
        <v>0</v>
      </c>
      <c r="G24" s="104">
        <f>Raw!H108</f>
        <v>0</v>
      </c>
      <c r="H24" s="471">
        <f>'Debt Schedule'!H9</f>
        <v>3201</v>
      </c>
      <c r="I24" s="471">
        <f>'Debt Schedule'!I9</f>
        <v>5166</v>
      </c>
      <c r="J24" s="471">
        <f>'Debt Schedule'!J9</f>
        <v>3637</v>
      </c>
      <c r="K24" s="471">
        <f>'Debt Schedule'!K9</f>
        <v>3011</v>
      </c>
      <c r="L24" s="471">
        <f>'Debt Schedule'!L9</f>
        <v>0</v>
      </c>
      <c r="M24" s="471">
        <f>'Debt Schedule'!M9</f>
        <v>0</v>
      </c>
    </row>
    <row r="25" spans="1:14">
      <c r="A25" s="92" t="s">
        <v>37</v>
      </c>
      <c r="B25" s="104">
        <f>Raw!C109</f>
        <v>360.7</v>
      </c>
      <c r="C25" s="104">
        <f>Raw!D109</f>
        <v>274.89999999999998</v>
      </c>
      <c r="D25" s="104">
        <f>Raw!E109</f>
        <v>705.1</v>
      </c>
      <c r="E25" s="104">
        <f>Raw!F109</f>
        <v>361</v>
      </c>
      <c r="F25" s="104">
        <f>Raw!G109</f>
        <v>250</v>
      </c>
      <c r="G25" s="104">
        <f>Raw!H109</f>
        <v>391</v>
      </c>
      <c r="H25" s="106">
        <f>G25</f>
        <v>391</v>
      </c>
      <c r="I25" s="106">
        <f t="shared" ref="I25:M25" si="14">H25</f>
        <v>391</v>
      </c>
      <c r="J25" s="106">
        <f t="shared" si="14"/>
        <v>391</v>
      </c>
      <c r="K25" s="106">
        <f t="shared" si="14"/>
        <v>391</v>
      </c>
      <c r="L25" s="106">
        <f t="shared" si="14"/>
        <v>391</v>
      </c>
      <c r="M25" s="106">
        <f t="shared" si="14"/>
        <v>391</v>
      </c>
    </row>
    <row r="26" spans="1:14">
      <c r="A26" s="92" t="s">
        <v>372</v>
      </c>
      <c r="B26" s="104">
        <f>Raw!C110</f>
        <v>236.7</v>
      </c>
      <c r="C26" s="104">
        <f>Raw!D110</f>
        <v>255.1</v>
      </c>
      <c r="D26" s="104">
        <f>Raw!E110</f>
        <v>268</v>
      </c>
      <c r="E26" s="104">
        <f>Raw!F110</f>
        <v>224</v>
      </c>
      <c r="F26" s="104">
        <f>Raw!G110</f>
        <v>247</v>
      </c>
      <c r="G26" s="104">
        <f>Raw!H110</f>
        <v>253</v>
      </c>
      <c r="H26" s="106">
        <f>G26</f>
        <v>253</v>
      </c>
      <c r="I26" s="106">
        <f t="shared" ref="I26:M26" si="15">H26</f>
        <v>253</v>
      </c>
      <c r="J26" s="106">
        <f t="shared" si="15"/>
        <v>253</v>
      </c>
      <c r="K26" s="106">
        <f t="shared" si="15"/>
        <v>253</v>
      </c>
      <c r="L26" s="106">
        <f t="shared" si="15"/>
        <v>253</v>
      </c>
      <c r="M26" s="106">
        <f t="shared" si="15"/>
        <v>253</v>
      </c>
    </row>
    <row r="27" spans="1:14">
      <c r="A27" s="92" t="s">
        <v>373</v>
      </c>
      <c r="B27" s="104">
        <f>Raw!C111</f>
        <v>705.5</v>
      </c>
      <c r="C27" s="104">
        <f>Raw!D111</f>
        <v>661.1</v>
      </c>
      <c r="D27" s="104">
        <f>Raw!E111</f>
        <v>688.1</v>
      </c>
      <c r="E27" s="104">
        <f>Raw!F111</f>
        <v>636</v>
      </c>
      <c r="F27" s="104">
        <f>Raw!G111</f>
        <v>694</v>
      </c>
      <c r="G27" s="104">
        <f>Raw!H111</f>
        <v>707</v>
      </c>
      <c r="H27" s="106">
        <f>G27</f>
        <v>707</v>
      </c>
      <c r="I27" s="106">
        <f t="shared" ref="I27:M27" si="16">H27</f>
        <v>707</v>
      </c>
      <c r="J27" s="106">
        <f t="shared" si="16"/>
        <v>707</v>
      </c>
      <c r="K27" s="106">
        <f t="shared" si="16"/>
        <v>707</v>
      </c>
      <c r="L27" s="106">
        <f t="shared" si="16"/>
        <v>707</v>
      </c>
      <c r="M27" s="106">
        <f t="shared" si="16"/>
        <v>707</v>
      </c>
    </row>
    <row r="28" spans="1:14">
      <c r="B28" s="104"/>
      <c r="C28" s="104"/>
      <c r="D28" s="104"/>
      <c r="E28" s="104"/>
      <c r="F28" s="104"/>
      <c r="G28" s="104"/>
      <c r="H28" s="204"/>
      <c r="I28" s="204"/>
      <c r="J28" s="204"/>
      <c r="K28" s="204"/>
      <c r="L28" s="204"/>
      <c r="M28" s="204"/>
    </row>
    <row r="29" spans="1:14">
      <c r="A29" s="102" t="s">
        <v>38</v>
      </c>
      <c r="B29" s="232">
        <f>SUM(B21:B27)</f>
        <v>4019.9999999999995</v>
      </c>
      <c r="C29" s="232">
        <f t="shared" ref="C29:G29" si="17">SUM(C21:C27)</f>
        <v>3802.1</v>
      </c>
      <c r="D29" s="232">
        <f t="shared" si="17"/>
        <v>6859.0000000000009</v>
      </c>
      <c r="E29" s="232">
        <f t="shared" si="17"/>
        <v>3861</v>
      </c>
      <c r="F29" s="232">
        <f t="shared" si="17"/>
        <v>4361</v>
      </c>
      <c r="G29" s="232">
        <f t="shared" si="17"/>
        <v>4147</v>
      </c>
      <c r="H29" s="232">
        <f>SUM(H21:H27)</f>
        <v>7463.1085421024864</v>
      </c>
      <c r="I29" s="232">
        <f t="shared" ref="I29:M29" si="18">SUM(I21:I27)</f>
        <v>9499.9237449917928</v>
      </c>
      <c r="J29" s="232">
        <f t="shared" si="18"/>
        <v>8047.5991696913006</v>
      </c>
      <c r="K29" s="232">
        <f t="shared" si="18"/>
        <v>7502.8751198727787</v>
      </c>
      <c r="L29" s="232">
        <f t="shared" si="18"/>
        <v>4578.0276270651457</v>
      </c>
      <c r="M29" s="232">
        <f t="shared" si="18"/>
        <v>4669.3492846890549</v>
      </c>
    </row>
    <row r="30" spans="1:14">
      <c r="B30" s="104"/>
      <c r="C30" s="104"/>
      <c r="D30" s="104"/>
      <c r="E30" s="104"/>
      <c r="F30" s="104"/>
      <c r="G30" s="104"/>
      <c r="H30" s="103"/>
      <c r="I30" s="103"/>
      <c r="J30" s="103"/>
      <c r="K30" s="103"/>
      <c r="L30" s="103"/>
      <c r="M30" s="103"/>
    </row>
    <row r="31" spans="1:14">
      <c r="A31" s="92" t="s">
        <v>39</v>
      </c>
      <c r="B31" s="104">
        <f>Raw!C113</f>
        <v>35622.699999999997</v>
      </c>
      <c r="C31" s="104">
        <f>Raw!D113</f>
        <v>35903.5</v>
      </c>
      <c r="D31" s="104">
        <f>Raw!E113</f>
        <v>37152.9</v>
      </c>
      <c r="E31" s="104">
        <f>Raw!F113</f>
        <v>38424</v>
      </c>
      <c r="F31" s="104">
        <f>Raw!G113</f>
        <v>39973</v>
      </c>
      <c r="G31" s="104">
        <f>Raw!H113</f>
        <v>40105</v>
      </c>
      <c r="H31" s="103">
        <f>'Debt Schedule'!H10</f>
        <v>36904</v>
      </c>
      <c r="I31" s="103">
        <f>'Debt Schedule'!I10</f>
        <v>31738</v>
      </c>
      <c r="J31" s="103">
        <f>'Debt Schedule'!J10</f>
        <v>28101</v>
      </c>
      <c r="K31" s="103">
        <f>'Debt Schedule'!K10</f>
        <v>25090</v>
      </c>
      <c r="L31" s="103">
        <f>'Debt Schedule'!L10</f>
        <v>25090</v>
      </c>
      <c r="M31" s="103">
        <f>'Debt Schedule'!M10</f>
        <v>25090</v>
      </c>
    </row>
    <row r="32" spans="1:14">
      <c r="A32" s="419" t="s">
        <v>375</v>
      </c>
      <c r="B32" s="104">
        <f>Raw!C114</f>
        <v>13020.9</v>
      </c>
      <c r="C32" s="104">
        <f>Raw!D114</f>
        <v>12134.4</v>
      </c>
      <c r="D32" s="104">
        <f>Raw!E114</f>
        <v>13057.7</v>
      </c>
      <c r="E32" s="104">
        <f>Raw!F114</f>
        <v>12888</v>
      </c>
      <c r="F32" s="104">
        <f>Raw!G114</f>
        <v>14147</v>
      </c>
      <c r="G32" s="104">
        <f>Raw!H114</f>
        <v>14069</v>
      </c>
      <c r="H32" s="106">
        <f>G32</f>
        <v>14069</v>
      </c>
      <c r="I32" s="106">
        <f t="shared" ref="I32:M32" si="19">H32</f>
        <v>14069</v>
      </c>
      <c r="J32" s="106">
        <f t="shared" si="19"/>
        <v>14069</v>
      </c>
      <c r="K32" s="106">
        <f t="shared" si="19"/>
        <v>14069</v>
      </c>
      <c r="L32" s="106">
        <f t="shared" si="19"/>
        <v>14069</v>
      </c>
      <c r="M32" s="106">
        <f t="shared" si="19"/>
        <v>14069</v>
      </c>
    </row>
    <row r="33" spans="1:14">
      <c r="A33" s="92" t="s">
        <v>374</v>
      </c>
      <c r="B33" s="104">
        <f>Raw!C115</f>
        <v>1896.8</v>
      </c>
      <c r="C33" s="104">
        <f>Raw!D115</f>
        <v>791.9</v>
      </c>
      <c r="D33" s="104">
        <f>Raw!E115</f>
        <v>363.2</v>
      </c>
      <c r="E33" s="104">
        <f>Raw!F115</f>
        <v>344</v>
      </c>
      <c r="F33" s="104">
        <f>Raw!G115</f>
        <v>139</v>
      </c>
      <c r="G33" s="104">
        <f>Raw!H115</f>
        <v>151</v>
      </c>
      <c r="H33" s="106">
        <f>G33</f>
        <v>151</v>
      </c>
      <c r="I33" s="106">
        <f t="shared" ref="I33:M33" si="20">H33</f>
        <v>151</v>
      </c>
      <c r="J33" s="106">
        <f t="shared" si="20"/>
        <v>151</v>
      </c>
      <c r="K33" s="106">
        <f t="shared" si="20"/>
        <v>151</v>
      </c>
      <c r="L33" s="106">
        <f t="shared" si="20"/>
        <v>151</v>
      </c>
      <c r="M33" s="106">
        <f t="shared" si="20"/>
        <v>151</v>
      </c>
    </row>
    <row r="34" spans="1:14">
      <c r="A34" s="92" t="s">
        <v>377</v>
      </c>
      <c r="B34" s="104">
        <f>Raw!C116</f>
        <v>2075.6</v>
      </c>
      <c r="C34" s="104">
        <f>Raw!D116</f>
        <v>1997.5</v>
      </c>
      <c r="D34" s="104">
        <f>Raw!E116</f>
        <v>1680.9</v>
      </c>
      <c r="E34" s="104">
        <f>Raw!F116</f>
        <v>1914</v>
      </c>
      <c r="F34" s="104">
        <f>Raw!G116</f>
        <v>1038</v>
      </c>
      <c r="G34" s="104">
        <f>Raw!H116</f>
        <v>1220</v>
      </c>
      <c r="H34" s="106">
        <f>G34</f>
        <v>1220</v>
      </c>
      <c r="I34" s="106">
        <f t="shared" ref="I34:M34" si="21">H34</f>
        <v>1220</v>
      </c>
      <c r="J34" s="106">
        <f t="shared" si="21"/>
        <v>1220</v>
      </c>
      <c r="K34" s="106">
        <f t="shared" si="21"/>
        <v>1220</v>
      </c>
      <c r="L34" s="106">
        <f t="shared" si="21"/>
        <v>1220</v>
      </c>
      <c r="M34" s="106">
        <f t="shared" si="21"/>
        <v>1220</v>
      </c>
    </row>
    <row r="35" spans="1:14">
      <c r="A35" s="419" t="s">
        <v>376</v>
      </c>
      <c r="B35" s="104">
        <f>Raw!C117</f>
        <v>738.3</v>
      </c>
      <c r="C35" s="104">
        <f>Raw!D117</f>
        <v>757.8</v>
      </c>
      <c r="D35" s="104">
        <f>Raw!E117</f>
        <v>790.1</v>
      </c>
      <c r="E35" s="104">
        <f>Raw!F117</f>
        <v>778</v>
      </c>
      <c r="F35" s="104">
        <f>Raw!G117</f>
        <v>945</v>
      </c>
      <c r="G35" s="104">
        <f>Raw!H117</f>
        <v>946</v>
      </c>
      <c r="H35" s="106">
        <f>G35</f>
        <v>946</v>
      </c>
      <c r="I35" s="106">
        <f t="shared" ref="I35:M35" si="22">H35</f>
        <v>946</v>
      </c>
      <c r="J35" s="106">
        <f t="shared" si="22"/>
        <v>946</v>
      </c>
      <c r="K35" s="106">
        <f t="shared" si="22"/>
        <v>946</v>
      </c>
      <c r="L35" s="106">
        <f t="shared" si="22"/>
        <v>946</v>
      </c>
      <c r="M35" s="106">
        <f t="shared" si="22"/>
        <v>946</v>
      </c>
    </row>
    <row r="36" spans="1:14">
      <c r="A36" s="92" t="s">
        <v>378</v>
      </c>
      <c r="B36" s="104">
        <f>Raw!C118</f>
        <v>1081</v>
      </c>
      <c r="C36" s="104">
        <f>Raw!D118</f>
        <v>1051.8</v>
      </c>
      <c r="D36" s="104">
        <f>Raw!E118</f>
        <v>949.7</v>
      </c>
      <c r="E36" s="104">
        <f>Raw!F118</f>
        <v>771</v>
      </c>
      <c r="F36" s="104">
        <f>Raw!G118</f>
        <v>704</v>
      </c>
      <c r="G36" s="104">
        <f>Raw!H118</f>
        <v>686</v>
      </c>
      <c r="H36" s="106">
        <f>G36</f>
        <v>686</v>
      </c>
      <c r="I36" s="106">
        <f t="shared" ref="I36:M36" si="23">H36</f>
        <v>686</v>
      </c>
      <c r="J36" s="106">
        <f t="shared" si="23"/>
        <v>686</v>
      </c>
      <c r="K36" s="106">
        <f t="shared" si="23"/>
        <v>686</v>
      </c>
      <c r="L36" s="106">
        <f t="shared" si="23"/>
        <v>686</v>
      </c>
      <c r="M36" s="106">
        <f t="shared" si="23"/>
        <v>686</v>
      </c>
    </row>
    <row r="37" spans="1:14" ht="15" thickBot="1">
      <c r="A37" s="165" t="s">
        <v>168</v>
      </c>
      <c r="B37" s="233">
        <f>SUM(B29:B36)</f>
        <v>58455.3</v>
      </c>
      <c r="C37" s="233">
        <f t="shared" ref="C37:G37" si="24">SUM(C29:C36)</f>
        <v>56439.000000000007</v>
      </c>
      <c r="D37" s="233">
        <f t="shared" si="24"/>
        <v>60853.5</v>
      </c>
      <c r="E37" s="233">
        <f t="shared" si="24"/>
        <v>58980</v>
      </c>
      <c r="F37" s="233">
        <f t="shared" si="24"/>
        <v>61307</v>
      </c>
      <c r="G37" s="233">
        <f t="shared" si="24"/>
        <v>61324</v>
      </c>
      <c r="H37" s="233">
        <f>SUM(H29:H36)</f>
        <v>61439.108542102484</v>
      </c>
      <c r="I37" s="233">
        <f t="shared" ref="I37:M37" si="25">SUM(I29:I36)</f>
        <v>58309.923744991793</v>
      </c>
      <c r="J37" s="233">
        <f t="shared" si="25"/>
        <v>53220.599169691297</v>
      </c>
      <c r="K37" s="233">
        <f t="shared" si="25"/>
        <v>49664.875119872777</v>
      </c>
      <c r="L37" s="233">
        <f t="shared" si="25"/>
        <v>46740.027627065145</v>
      </c>
      <c r="M37" s="233">
        <f t="shared" si="25"/>
        <v>46831.349284689059</v>
      </c>
    </row>
    <row r="38" spans="1:14" ht="15" thickTop="1">
      <c r="A38" s="165"/>
      <c r="B38" s="234"/>
      <c r="C38" s="234"/>
      <c r="D38" s="234"/>
      <c r="E38" s="234"/>
      <c r="F38" s="234"/>
      <c r="G38" s="234"/>
      <c r="H38" s="103"/>
      <c r="I38" s="103"/>
      <c r="J38" s="103"/>
      <c r="K38" s="103"/>
      <c r="L38" s="103"/>
      <c r="M38" s="103"/>
    </row>
    <row r="39" spans="1:14">
      <c r="A39" s="102" t="s">
        <v>411</v>
      </c>
      <c r="B39" s="104"/>
      <c r="C39" s="104"/>
      <c r="D39" s="104"/>
      <c r="E39" s="104"/>
      <c r="F39" s="104"/>
      <c r="G39" s="104"/>
      <c r="H39" s="103"/>
      <c r="I39" s="103"/>
      <c r="J39" s="103"/>
      <c r="K39" s="103"/>
      <c r="L39" s="103"/>
      <c r="M39" s="103"/>
    </row>
    <row r="40" spans="1:14">
      <c r="A40" s="92" t="s">
        <v>380</v>
      </c>
      <c r="B40" s="104">
        <f>Raw!C122</f>
        <v>16.600000000000001</v>
      </c>
      <c r="C40" s="104">
        <f>Raw!D122</f>
        <v>16.600000000000001</v>
      </c>
      <c r="D40" s="104">
        <f>Raw!E122</f>
        <v>16.600000000000001</v>
      </c>
      <c r="E40" s="104">
        <f>Raw!F122</f>
        <v>17</v>
      </c>
      <c r="F40" s="104">
        <f>Raw!G122</f>
        <v>17</v>
      </c>
      <c r="G40" s="104">
        <f>Raw!H122</f>
        <v>17</v>
      </c>
      <c r="H40" s="106">
        <f>G40</f>
        <v>17</v>
      </c>
      <c r="I40" s="106">
        <f t="shared" ref="I40:M40" si="26">H40</f>
        <v>17</v>
      </c>
      <c r="J40" s="106">
        <f t="shared" si="26"/>
        <v>17</v>
      </c>
      <c r="K40" s="106">
        <f t="shared" si="26"/>
        <v>17</v>
      </c>
      <c r="L40" s="106">
        <f t="shared" si="26"/>
        <v>17</v>
      </c>
      <c r="M40" s="106">
        <f t="shared" si="26"/>
        <v>17</v>
      </c>
    </row>
    <row r="41" spans="1:14">
      <c r="A41" s="92" t="s">
        <v>40</v>
      </c>
      <c r="B41" s="104">
        <f>Raw!C123</f>
        <v>8231.6</v>
      </c>
      <c r="C41" s="104">
        <f>Raw!D123</f>
        <v>8547.1</v>
      </c>
      <c r="D41" s="104">
        <f>Raw!E123</f>
        <v>8892.9</v>
      </c>
      <c r="E41" s="104">
        <f>Raw!F123</f>
        <v>9281</v>
      </c>
      <c r="F41" s="104">
        <f>Raw!G123</f>
        <v>9641</v>
      </c>
      <c r="G41" s="104">
        <f>Raw!H123</f>
        <v>9792</v>
      </c>
      <c r="H41" s="467">
        <f>G41+'McD IS'!H95</f>
        <v>9946.1179379136229</v>
      </c>
      <c r="I41" s="467">
        <f>H41+'McD IS'!J95</f>
        <v>10157.917734595481</v>
      </c>
      <c r="J41" s="467">
        <f>I41+'McD IS'!K95</f>
        <v>10382.425519078251</v>
      </c>
      <c r="K41" s="467">
        <f>J41+'McD IS'!L95</f>
        <v>10620.403770629988</v>
      </c>
      <c r="L41" s="467">
        <f>K41+'McD IS'!M95</f>
        <v>10872.660717274828</v>
      </c>
      <c r="M41" s="467">
        <f>L41+'McD IS'!N95</f>
        <v>11140.053080718359</v>
      </c>
    </row>
    <row r="42" spans="1:14">
      <c r="A42" s="92" t="s">
        <v>41</v>
      </c>
      <c r="B42" s="104">
        <f>Raw!C124</f>
        <v>57534.7</v>
      </c>
      <c r="C42" s="104">
        <f>Raw!D124</f>
        <v>59543.9</v>
      </c>
      <c r="D42" s="104">
        <f>Raw!E124</f>
        <v>63479.9</v>
      </c>
      <c r="E42" s="104">
        <f>Raw!F124</f>
        <v>66834</v>
      </c>
      <c r="F42" s="104">
        <f>Raw!G124</f>
        <v>70282</v>
      </c>
      <c r="G42" s="104">
        <f>Raw!H124</f>
        <v>70942</v>
      </c>
      <c r="H42" s="467">
        <f>G42+('McD IS'!H59-'McD IS'!H61)</f>
        <v>73994.48179053748</v>
      </c>
      <c r="I42" s="467">
        <f>H42+('McD IS'!J59-'McD IS'!J61)</f>
        <v>78222.23291500815</v>
      </c>
      <c r="J42" s="467">
        <f>I42+('McD IS'!K59-'McD IS'!K61)</f>
        <v>82778.896051606906</v>
      </c>
      <c r="K42" s="467">
        <f>J42+('McD IS'!L59-'McD IS'!L61)</f>
        <v>87683.823415730454</v>
      </c>
      <c r="L42" s="467">
        <f>K42+('McD IS'!M59-'McD IS'!M61)</f>
        <v>92942.365107410078</v>
      </c>
      <c r="M42" s="467">
        <f>L42+('McD IS'!N59-'McD IS'!N61)</f>
        <v>98552.354986977196</v>
      </c>
    </row>
    <row r="43" spans="1:14">
      <c r="A43" s="92" t="s">
        <v>42</v>
      </c>
      <c r="B43" s="104">
        <f>Raw!C125</f>
        <v>-2573.6999999999998</v>
      </c>
      <c r="C43" s="104">
        <f>Raw!D125</f>
        <v>-2486.6</v>
      </c>
      <c r="D43" s="104">
        <f>Raw!E125</f>
        <v>-2456</v>
      </c>
      <c r="E43" s="104">
        <f>Raw!F125</f>
        <v>-2553</v>
      </c>
      <c r="F43" s="104">
        <f>Raw!G125</f>
        <v>-2414</v>
      </c>
      <c r="G43" s="104">
        <f>Raw!H125</f>
        <v>-2363</v>
      </c>
      <c r="H43" s="106">
        <f>G43</f>
        <v>-2363</v>
      </c>
      <c r="I43" s="106">
        <f t="shared" ref="I43:M43" si="27">H43</f>
        <v>-2363</v>
      </c>
      <c r="J43" s="106">
        <f t="shared" si="27"/>
        <v>-2363</v>
      </c>
      <c r="K43" s="106">
        <f t="shared" si="27"/>
        <v>-2363</v>
      </c>
      <c r="L43" s="106">
        <f t="shared" si="27"/>
        <v>-2363</v>
      </c>
      <c r="M43" s="106">
        <f t="shared" si="27"/>
        <v>-2363</v>
      </c>
    </row>
    <row r="44" spans="1:14">
      <c r="A44" s="92" t="s">
        <v>269</v>
      </c>
      <c r="B44" s="104">
        <f>Raw!C126</f>
        <v>-67810.2</v>
      </c>
      <c r="C44" s="104">
        <f>Raw!D126</f>
        <v>-71624.399999999994</v>
      </c>
      <c r="D44" s="104">
        <f>Raw!E126</f>
        <v>-74640.100000000006</v>
      </c>
      <c r="E44" s="104">
        <f>Raw!F126</f>
        <v>-77375</v>
      </c>
      <c r="F44" s="104">
        <f>Raw!G126</f>
        <v>-79316</v>
      </c>
      <c r="G44" s="104">
        <f>Raw!H126</f>
        <v>-79673</v>
      </c>
      <c r="H44" s="468">
        <f>G44</f>
        <v>-79673</v>
      </c>
      <c r="I44" s="468">
        <f t="shared" ref="I44:M44" si="28">H44</f>
        <v>-79673</v>
      </c>
      <c r="J44" s="468">
        <f t="shared" si="28"/>
        <v>-79673</v>
      </c>
      <c r="K44" s="468">
        <f t="shared" si="28"/>
        <v>-79673</v>
      </c>
      <c r="L44" s="468">
        <f t="shared" si="28"/>
        <v>-79673</v>
      </c>
      <c r="M44" s="468">
        <f t="shared" si="28"/>
        <v>-79673</v>
      </c>
    </row>
    <row r="45" spans="1:14" s="53" customFormat="1">
      <c r="A45" s="102" t="s">
        <v>412</v>
      </c>
      <c r="B45" s="234">
        <f>SUM(B40:B44)</f>
        <v>-4601</v>
      </c>
      <c r="C45" s="234">
        <f t="shared" ref="C45:G45" si="29">SUM(C40:C44)</f>
        <v>-6003.3999999999942</v>
      </c>
      <c r="D45" s="234">
        <f t="shared" si="29"/>
        <v>-4706.7000000000116</v>
      </c>
      <c r="E45" s="234">
        <f t="shared" si="29"/>
        <v>-3796</v>
      </c>
      <c r="F45" s="234">
        <f t="shared" si="29"/>
        <v>-1790</v>
      </c>
      <c r="G45" s="234">
        <f t="shared" si="29"/>
        <v>-1285</v>
      </c>
      <c r="H45" s="106">
        <f>SUM(H40:H44)</f>
        <v>1921.5997284511104</v>
      </c>
      <c r="I45" s="106">
        <f t="shared" ref="I45:M45" si="30">SUM(I40:I44)</f>
        <v>6361.1506496036309</v>
      </c>
      <c r="J45" s="106">
        <f t="shared" si="30"/>
        <v>11142.321570685162</v>
      </c>
      <c r="K45" s="106">
        <f t="shared" si="30"/>
        <v>16285.22718636044</v>
      </c>
      <c r="L45" s="106">
        <f t="shared" si="30"/>
        <v>21796.025824684912</v>
      </c>
      <c r="M45" s="106">
        <f t="shared" si="30"/>
        <v>27673.408067695549</v>
      </c>
      <c r="N45" s="465"/>
    </row>
    <row r="46" spans="1:14">
      <c r="A46" s="92" t="s">
        <v>43</v>
      </c>
      <c r="B46" s="104">
        <v>0</v>
      </c>
      <c r="C46" s="104">
        <v>0</v>
      </c>
      <c r="D46" s="104">
        <v>0</v>
      </c>
      <c r="E46" s="104">
        <v>0</v>
      </c>
      <c r="F46" s="104">
        <v>0</v>
      </c>
      <c r="G46" s="1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</row>
    <row r="47" spans="1:14" s="53" customFormat="1">
      <c r="A47" s="102" t="s">
        <v>44</v>
      </c>
      <c r="B47" s="234">
        <f>B45+B46</f>
        <v>-4601</v>
      </c>
      <c r="C47" s="234">
        <f t="shared" ref="C47:G47" si="31">C45+C46</f>
        <v>-6003.3999999999942</v>
      </c>
      <c r="D47" s="234">
        <f t="shared" si="31"/>
        <v>-4706.7000000000116</v>
      </c>
      <c r="E47" s="234">
        <f t="shared" si="31"/>
        <v>-3796</v>
      </c>
      <c r="F47" s="234">
        <f t="shared" si="31"/>
        <v>-1790</v>
      </c>
      <c r="G47" s="234">
        <f t="shared" si="31"/>
        <v>-1285</v>
      </c>
      <c r="H47" s="469">
        <f>H45+H46</f>
        <v>1921.5997284511104</v>
      </c>
      <c r="I47" s="469">
        <f t="shared" ref="I47:M47" si="32">I45+I46</f>
        <v>6361.1506496036309</v>
      </c>
      <c r="J47" s="469">
        <f t="shared" si="32"/>
        <v>11142.321570685162</v>
      </c>
      <c r="K47" s="469">
        <f t="shared" si="32"/>
        <v>16285.22718636044</v>
      </c>
      <c r="L47" s="469">
        <f t="shared" si="32"/>
        <v>21796.025824684912</v>
      </c>
      <c r="M47" s="469">
        <f t="shared" si="32"/>
        <v>27673.408067695549</v>
      </c>
      <c r="N47" s="465"/>
    </row>
    <row r="48" spans="1:14">
      <c r="A48" s="92"/>
      <c r="B48" s="104"/>
      <c r="C48" s="104"/>
      <c r="D48" s="104"/>
      <c r="E48" s="104"/>
      <c r="F48" s="104"/>
      <c r="G48" s="104"/>
      <c r="H48" s="103"/>
      <c r="I48" s="103"/>
      <c r="J48" s="103"/>
      <c r="K48" s="103"/>
      <c r="L48" s="103"/>
      <c r="M48" s="103"/>
    </row>
    <row r="49" spans="1:14" s="53" customFormat="1" ht="15" thickBot="1">
      <c r="A49" s="102" t="s">
        <v>45</v>
      </c>
      <c r="B49" s="233">
        <f>B37+B47</f>
        <v>53854.3</v>
      </c>
      <c r="C49" s="233">
        <f t="shared" ref="C49:G49" si="33">C37+C47</f>
        <v>50435.600000000013</v>
      </c>
      <c r="D49" s="233">
        <f t="shared" si="33"/>
        <v>56146.799999999988</v>
      </c>
      <c r="E49" s="233">
        <f t="shared" si="33"/>
        <v>55184</v>
      </c>
      <c r="F49" s="233">
        <f t="shared" si="33"/>
        <v>59517</v>
      </c>
      <c r="G49" s="233">
        <f t="shared" si="33"/>
        <v>60039</v>
      </c>
      <c r="H49" s="470">
        <f>H37+H47</f>
        <v>63360.708270553594</v>
      </c>
      <c r="I49" s="470">
        <f t="shared" ref="I49:M49" si="34">I37+I47</f>
        <v>64671.074394595424</v>
      </c>
      <c r="J49" s="470">
        <f t="shared" si="34"/>
        <v>64362.920740376459</v>
      </c>
      <c r="K49" s="470">
        <f t="shared" si="34"/>
        <v>65950.102306233224</v>
      </c>
      <c r="L49" s="470">
        <f t="shared" si="34"/>
        <v>68536.053451750049</v>
      </c>
      <c r="M49" s="470">
        <f t="shared" si="34"/>
        <v>74504.757352384608</v>
      </c>
      <c r="N49" s="465"/>
    </row>
    <row r="50" spans="1:14" ht="15" thickTop="1">
      <c r="B50" s="110"/>
      <c r="C50" s="110"/>
      <c r="D50" s="110"/>
      <c r="E50" s="110"/>
      <c r="F50" s="110"/>
      <c r="G50" s="110"/>
      <c r="H50" s="197"/>
      <c r="I50" s="197"/>
      <c r="J50" s="197"/>
      <c r="K50" s="197"/>
      <c r="L50" s="197"/>
      <c r="M50" s="197"/>
    </row>
    <row r="51" spans="1:14">
      <c r="A51" s="99" t="s">
        <v>46</v>
      </c>
      <c r="B51" s="218">
        <f>B18-B49</f>
        <v>0</v>
      </c>
      <c r="C51" s="218">
        <f t="shared" ref="C51:M51" si="35">C18-C49</f>
        <v>0</v>
      </c>
      <c r="D51" s="218">
        <f t="shared" si="35"/>
        <v>0</v>
      </c>
      <c r="E51" s="218">
        <f t="shared" si="35"/>
        <v>0</v>
      </c>
      <c r="F51" s="218">
        <f t="shared" si="35"/>
        <v>0</v>
      </c>
      <c r="G51" s="218">
        <f t="shared" si="35"/>
        <v>0</v>
      </c>
      <c r="H51" s="218">
        <f t="shared" si="35"/>
        <v>0</v>
      </c>
      <c r="I51" s="218">
        <f t="shared" si="35"/>
        <v>0</v>
      </c>
      <c r="J51" s="218">
        <f t="shared" si="35"/>
        <v>0</v>
      </c>
      <c r="K51" s="218">
        <f t="shared" si="35"/>
        <v>0</v>
      </c>
      <c r="L51" s="218">
        <f t="shared" si="35"/>
        <v>0</v>
      </c>
      <c r="M51" s="218">
        <f t="shared" si="35"/>
        <v>0</v>
      </c>
    </row>
    <row r="52" spans="1:14">
      <c r="B52" s="99"/>
      <c r="C52" s="99"/>
      <c r="D52" s="99"/>
      <c r="E52" s="99"/>
      <c r="F52" s="99"/>
      <c r="G52" s="99"/>
      <c r="H52" s="103"/>
      <c r="I52" s="103"/>
      <c r="J52" s="103"/>
      <c r="K52" s="103"/>
      <c r="L52" s="103"/>
      <c r="M52" s="103"/>
    </row>
    <row r="53" spans="1:14">
      <c r="H53" s="103"/>
      <c r="I53" s="103"/>
      <c r="J53" s="103"/>
      <c r="K53" s="103"/>
      <c r="L53" s="103"/>
      <c r="M53" s="103"/>
    </row>
    <row r="54" spans="1:14">
      <c r="A54" s="111" t="s">
        <v>47</v>
      </c>
      <c r="H54" s="103"/>
      <c r="I54" s="103"/>
      <c r="J54" s="103"/>
      <c r="K54" s="103"/>
      <c r="L54" s="103"/>
      <c r="M54" s="103"/>
    </row>
    <row r="55" spans="1:14">
      <c r="A55" s="111" t="s">
        <v>48</v>
      </c>
      <c r="H55" s="103"/>
      <c r="I55" s="103"/>
      <c r="J55" s="103"/>
      <c r="K55" s="103"/>
      <c r="L55" s="103"/>
      <c r="M55" s="103"/>
    </row>
    <row r="56" spans="1:14">
      <c r="A56" s="92" t="s">
        <v>30</v>
      </c>
      <c r="B56" s="73">
        <f>B9</f>
        <v>1872.4</v>
      </c>
      <c r="C56" s="73">
        <f t="shared" ref="C56:G56" si="36">C9</f>
        <v>2115</v>
      </c>
      <c r="D56" s="73">
        <f t="shared" si="36"/>
        <v>2488</v>
      </c>
      <c r="E56" s="73">
        <f t="shared" si="36"/>
        <v>2383</v>
      </c>
      <c r="F56" s="73">
        <f t="shared" si="36"/>
        <v>2466</v>
      </c>
      <c r="G56" s="73">
        <f t="shared" si="36"/>
        <v>2432</v>
      </c>
      <c r="H56" s="106">
        <f>$H$57*'McD IS'!I8/365</f>
        <v>2653.7836385497926</v>
      </c>
      <c r="I56" s="106">
        <f>$H$57*'McD IS'!J8/365</f>
        <v>2813.0106568627803</v>
      </c>
      <c r="J56" s="106">
        <f>$H$57*'McD IS'!K8/365</f>
        <v>2981.7912962745472</v>
      </c>
      <c r="K56" s="106">
        <f>$H$57*'McD IS'!L8/365</f>
        <v>3160.6987740510208</v>
      </c>
      <c r="L56" s="106">
        <f>$H$57*'McD IS'!M8/365</f>
        <v>3350.3407004940823</v>
      </c>
      <c r="M56" s="106">
        <f>$H$57*'McD IS'!N8/365</f>
        <v>3551.3611425237273</v>
      </c>
    </row>
    <row r="57" spans="1:14">
      <c r="A57" s="58" t="s">
        <v>49</v>
      </c>
      <c r="B57" s="112">
        <f>(365*B56)/'McD IS'!B8</f>
        <v>29.42896881957034</v>
      </c>
      <c r="C57" s="112">
        <f>(365*C56)/'McD IS'!C8</f>
        <v>33.299759302235302</v>
      </c>
      <c r="D57" s="112">
        <f>(365*D56)/'McD IS'!D8</f>
        <v>35.621349588329672</v>
      </c>
      <c r="E57" s="112">
        <f>(365*E56)/'McD IS'!E8</f>
        <v>33.556905864197532</v>
      </c>
      <c r="F57" s="112">
        <f>(365*F56)/'McD IS'!F8</f>
        <v>33.479263529849355</v>
      </c>
      <c r="G57" s="112">
        <f>((G4-F4)*G56)/'McD IS'!G8</f>
        <v>33.586005830903787</v>
      </c>
      <c r="H57" s="236">
        <f>AVERAGE(C57:F57)</f>
        <v>33.989319571152961</v>
      </c>
      <c r="I57" s="113"/>
      <c r="J57" s="113"/>
      <c r="K57" s="113"/>
      <c r="L57" s="113"/>
      <c r="M57" s="113"/>
    </row>
    <row r="58" spans="1:14">
      <c r="A58" s="114" t="s">
        <v>31</v>
      </c>
      <c r="B58" s="73">
        <f>B10</f>
        <v>55.6</v>
      </c>
      <c r="C58" s="73">
        <f t="shared" ref="C58:G58" si="37">C10</f>
        <v>52</v>
      </c>
      <c r="D58" s="73">
        <f t="shared" si="37"/>
        <v>52.8</v>
      </c>
      <c r="E58" s="73">
        <f t="shared" si="37"/>
        <v>56</v>
      </c>
      <c r="F58" s="73">
        <f t="shared" si="37"/>
        <v>61</v>
      </c>
      <c r="G58" s="73">
        <f t="shared" si="37"/>
        <v>61</v>
      </c>
      <c r="H58" s="105">
        <f>($H$59*'McD IS'!I14)/365</f>
        <v>63.525000265320806</v>
      </c>
      <c r="I58" s="105">
        <f>($H$59*'McD IS'!J14)/365</f>
        <v>67.307463139387437</v>
      </c>
      <c r="J58" s="105">
        <f>($H$59*'McD IS'!K14)/365</f>
        <v>71.34591092775068</v>
      </c>
      <c r="K58" s="105">
        <f>($H$59*'McD IS'!L14)/365</f>
        <v>75.626665583415729</v>
      </c>
      <c r="L58" s="105">
        <f>($H$59*'McD IS'!M14)/365</f>
        <v>80.164265518420677</v>
      </c>
      <c r="M58" s="105">
        <f>($H$59*'McD IS'!N14)/365</f>
        <v>84.974121449525924</v>
      </c>
    </row>
    <row r="59" spans="1:14">
      <c r="A59" s="58" t="s">
        <v>50</v>
      </c>
      <c r="B59" s="112">
        <f>(365*B58)/'McD IS'!B14</f>
        <v>2.2271729587357334</v>
      </c>
      <c r="C59" s="112">
        <f>(365*C58)/'McD IS'!C14</f>
        <v>2.2273335367427887</v>
      </c>
      <c r="D59" s="112">
        <f>(365*D58)/'McD IS'!D14</f>
        <v>2.0436470064261627</v>
      </c>
      <c r="E59" s="112">
        <f>(365*E58)/'McD IS'!E14</f>
        <v>2.1050463439752831</v>
      </c>
      <c r="F59" s="112">
        <f>(365*F58)/'McD IS'!F14</f>
        <v>2.2601766318140291</v>
      </c>
      <c r="G59" s="112">
        <f>((G4-F4)*G58)/'McD IS'!G14</f>
        <v>2.2462940462673138</v>
      </c>
      <c r="H59" s="236">
        <f>AVERAGE(B59:F59)</f>
        <v>2.1726752955387996</v>
      </c>
      <c r="I59" s="113"/>
      <c r="J59" s="113"/>
      <c r="K59" s="113"/>
      <c r="L59" s="113"/>
      <c r="M59" s="113"/>
    </row>
    <row r="60" spans="1:14">
      <c r="A60" s="114" t="s">
        <v>51</v>
      </c>
      <c r="B60" s="73">
        <f>B11</f>
        <v>511.3</v>
      </c>
      <c r="C60" s="73">
        <f t="shared" ref="C60:G60" si="38">C11</f>
        <v>673.4</v>
      </c>
      <c r="D60" s="73">
        <f t="shared" si="38"/>
        <v>866.3</v>
      </c>
      <c r="E60" s="73">
        <f t="shared" si="38"/>
        <v>1074</v>
      </c>
      <c r="F60" s="73">
        <f t="shared" si="38"/>
        <v>863</v>
      </c>
      <c r="G60" s="73">
        <f t="shared" si="38"/>
        <v>1046</v>
      </c>
      <c r="H60" s="105">
        <f>$H$61*'McD IS'!I8</f>
        <v>903.65837366556127</v>
      </c>
      <c r="I60" s="105">
        <f>$H$61*'McD IS'!J8</f>
        <v>957.87787608549502</v>
      </c>
      <c r="J60" s="105">
        <f>$H$61*'McD IS'!K8</f>
        <v>1015.3505486506248</v>
      </c>
      <c r="K60" s="105">
        <f>$H$61*'McD IS'!L8</f>
        <v>1076.2715815696624</v>
      </c>
      <c r="L60" s="105">
        <f>$H$61*'McD IS'!M8</f>
        <v>1140.8478764638423</v>
      </c>
      <c r="M60" s="105">
        <f>$H$61*'McD IS'!N8</f>
        <v>1209.2987490516728</v>
      </c>
    </row>
    <row r="61" spans="1:14">
      <c r="A61" s="58" t="s">
        <v>52</v>
      </c>
      <c r="B61" s="70">
        <f>B60/'McD IS'!B8</f>
        <v>2.2017060746073919E-2</v>
      </c>
      <c r="C61" s="70">
        <f>C60/'McD IS'!C8</f>
        <v>2.9047647804819131E-2</v>
      </c>
      <c r="D61" s="70">
        <f>D60/'McD IS'!D8</f>
        <v>3.3980944311731917E-2</v>
      </c>
      <c r="E61" s="70">
        <f>E60/'McD IS'!E8</f>
        <v>4.1435185185185186E-2</v>
      </c>
      <c r="F61" s="70">
        <f>F60/'McD IS'!F8</f>
        <v>3.2099683838571695E-2</v>
      </c>
      <c r="G61" s="70">
        <f>G60/'McD IS'!G8</f>
        <v>0.1605032990639865</v>
      </c>
      <c r="H61" s="222">
        <f>AVERAGE(C61, D61, F61)</f>
        <v>3.170942531837425E-2</v>
      </c>
      <c r="I61" s="115"/>
      <c r="J61" s="115"/>
      <c r="K61" s="115"/>
      <c r="L61" s="115"/>
      <c r="M61" s="115"/>
    </row>
    <row r="62" spans="1:14">
      <c r="A62" s="114"/>
      <c r="H62" s="101"/>
      <c r="I62" s="101"/>
      <c r="J62" s="101"/>
      <c r="K62" s="101"/>
      <c r="L62" s="101"/>
      <c r="M62" s="101"/>
    </row>
    <row r="63" spans="1:14">
      <c r="A63" s="111" t="s">
        <v>53</v>
      </c>
      <c r="H63" s="101"/>
      <c r="I63" s="101"/>
      <c r="J63" s="101"/>
      <c r="K63" s="101"/>
      <c r="L63" s="101"/>
      <c r="M63" s="101"/>
    </row>
    <row r="64" spans="1:14">
      <c r="A64" s="114" t="str">
        <f t="shared" ref="A64" si="39">A21</f>
        <v>Accounts payable and accrued expenses</v>
      </c>
      <c r="B64" s="193">
        <f>B21</f>
        <v>1006.8</v>
      </c>
      <c r="C64" s="193">
        <f t="shared" ref="C64:G64" si="40">C21</f>
        <v>980.2</v>
      </c>
      <c r="D64" s="193">
        <f t="shared" si="40"/>
        <v>1102.9000000000001</v>
      </c>
      <c r="E64" s="193">
        <f t="shared" si="40"/>
        <v>1029</v>
      </c>
      <c r="F64" s="193">
        <f t="shared" si="40"/>
        <v>1149</v>
      </c>
      <c r="G64" s="193">
        <f t="shared" si="40"/>
        <v>1091</v>
      </c>
      <c r="H64" s="105">
        <f>($H$65*'McD IS'!I14)/365</f>
        <v>1206.1085421024864</v>
      </c>
      <c r="I64" s="105">
        <f>($H$65*'McD IS'!J14)/365</f>
        <v>1277.923744991793</v>
      </c>
      <c r="J64" s="105">
        <f>($H$65*'McD IS'!K14)/365</f>
        <v>1354.5991696913006</v>
      </c>
      <c r="K64" s="105">
        <f>($H$65*'McD IS'!L14)/365</f>
        <v>1435.8751198727789</v>
      </c>
      <c r="L64" s="105">
        <f>($H$65*'McD IS'!M14)/365</f>
        <v>1522.0276270651457</v>
      </c>
      <c r="M64" s="105">
        <f>($H$65*'McD IS'!N14)/365</f>
        <v>1613.3492846890545</v>
      </c>
    </row>
    <row r="65" spans="1:15">
      <c r="A65" s="58" t="s">
        <v>208</v>
      </c>
      <c r="B65" s="112">
        <f>(365*B64)/'McD IS'!B14</f>
        <v>40.329455662862166</v>
      </c>
      <c r="C65" s="112">
        <f>(365*C64)/'McD IS'!C14</f>
        <v>41.985237167601568</v>
      </c>
      <c r="D65" s="112">
        <f>(365*D64)/'McD IS'!D14</f>
        <v>42.688225064155588</v>
      </c>
      <c r="E65" s="112">
        <f>(365*E64)/'McD IS'!E14</f>
        <v>38.680226570545827</v>
      </c>
      <c r="F65" s="112">
        <f>(365*F64)/'McD IS'!F14</f>
        <v>42.572835245152774</v>
      </c>
      <c r="G65" s="112">
        <f>((G4-F4)*G64)/'McD IS'!G14</f>
        <v>40.175521384879332</v>
      </c>
      <c r="H65" s="236">
        <f>AVERAGE(B65:F65)</f>
        <v>41.251195942063589</v>
      </c>
      <c r="I65" s="116"/>
      <c r="J65" s="116"/>
      <c r="K65" s="116"/>
      <c r="L65" s="116"/>
      <c r="M65" s="116"/>
      <c r="N65" s="466"/>
      <c r="O65" s="112"/>
    </row>
    <row r="66" spans="1:15">
      <c r="A66" s="92"/>
      <c r="H66" s="101"/>
      <c r="I66" s="101"/>
      <c r="J66" s="101"/>
      <c r="K66" s="101"/>
      <c r="L66" s="101"/>
      <c r="M66" s="101"/>
    </row>
    <row r="67" spans="1:15">
      <c r="A67" s="58" t="s">
        <v>209</v>
      </c>
      <c r="B67" s="73">
        <f>B56+B58+B60-B64</f>
        <v>1432.5000000000002</v>
      </c>
      <c r="C67" s="73">
        <f t="shared" ref="C67:M67" si="41">C56+C58+C60-C64</f>
        <v>1860.2</v>
      </c>
      <c r="D67" s="73">
        <f t="shared" si="41"/>
        <v>2304.2000000000003</v>
      </c>
      <c r="E67" s="73">
        <f t="shared" si="41"/>
        <v>2484</v>
      </c>
      <c r="F67" s="73">
        <f t="shared" si="41"/>
        <v>2241</v>
      </c>
      <c r="G67" s="73">
        <f t="shared" si="41"/>
        <v>2448</v>
      </c>
      <c r="H67" s="73">
        <f t="shared" si="41"/>
        <v>2414.858470378188</v>
      </c>
      <c r="I67" s="73">
        <f t="shared" si="41"/>
        <v>2560.2722510958702</v>
      </c>
      <c r="J67" s="73">
        <f t="shared" si="41"/>
        <v>2713.8885861616218</v>
      </c>
      <c r="K67" s="73">
        <f t="shared" si="41"/>
        <v>2876.7219013313206</v>
      </c>
      <c r="L67" s="73">
        <f t="shared" si="41"/>
        <v>3049.3252154111997</v>
      </c>
      <c r="M67" s="73">
        <f t="shared" si="41"/>
        <v>3232.2847283358719</v>
      </c>
    </row>
    <row r="68" spans="1:15">
      <c r="A68" s="483" t="s">
        <v>210</v>
      </c>
      <c r="B68" s="73"/>
      <c r="C68" s="73">
        <f>C67-B67</f>
        <v>427.69999999999982</v>
      </c>
      <c r="D68" s="73">
        <f t="shared" ref="D68:M68" si="42">D67-C67</f>
        <v>444.00000000000023</v>
      </c>
      <c r="E68" s="73">
        <f t="shared" si="42"/>
        <v>179.79999999999973</v>
      </c>
      <c r="F68" s="73">
        <f t="shared" si="42"/>
        <v>-243</v>
      </c>
      <c r="G68" s="73">
        <f t="shared" si="42"/>
        <v>207</v>
      </c>
      <c r="H68" s="73">
        <f t="shared" si="42"/>
        <v>-33.141529621811969</v>
      </c>
      <c r="I68" s="73">
        <f t="shared" si="42"/>
        <v>145.41378071768213</v>
      </c>
      <c r="J68" s="73">
        <f t="shared" si="42"/>
        <v>153.61633506575163</v>
      </c>
      <c r="K68" s="73">
        <f t="shared" si="42"/>
        <v>162.83331516969884</v>
      </c>
      <c r="L68" s="73">
        <f t="shared" si="42"/>
        <v>172.60331407987906</v>
      </c>
      <c r="M68" s="73">
        <f t="shared" si="42"/>
        <v>182.95951292467225</v>
      </c>
    </row>
    <row r="70" spans="1:15">
      <c r="A70" s="371" t="s">
        <v>294</v>
      </c>
      <c r="B70" s="374">
        <f>B57+B59-B65</f>
        <v>-8.6733138845560944</v>
      </c>
      <c r="C70" s="374">
        <f t="shared" ref="C70:F70" si="43">C57+C59-C65</f>
        <v>-6.4581443286234759</v>
      </c>
      <c r="D70" s="374">
        <f t="shared" si="43"/>
        <v>-5.0232284693997542</v>
      </c>
      <c r="E70" s="374">
        <f t="shared" si="43"/>
        <v>-3.0182743623730133</v>
      </c>
      <c r="F70" s="374">
        <f t="shared" si="43"/>
        <v>-6.8333950834893926</v>
      </c>
      <c r="G70" s="374">
        <f>G57+G59-G65</f>
        <v>-4.343221507708229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1"/>
  <sheetViews>
    <sheetView showGridLines="0" zoomScaleNormal="100" workbookViewId="0">
      <pane xSplit="1" ySplit="4" topLeftCell="B28" activePane="bottomRight" state="frozen"/>
      <selection pane="topRight"/>
      <selection pane="bottomLeft"/>
      <selection pane="bottomRight" activeCell="P12" sqref="P12"/>
    </sheetView>
  </sheetViews>
  <sheetFormatPr defaultColWidth="9" defaultRowHeight="14.4"/>
  <cols>
    <col min="1" max="1" width="49.5546875" bestFit="1" customWidth="1"/>
    <col min="2" max="2" width="2.44140625" customWidth="1"/>
    <col min="3" max="3" width="2.5546875" customWidth="1"/>
    <col min="4" max="4" width="2.109375" customWidth="1"/>
    <col min="5" max="5" width="1.44140625" customWidth="1"/>
    <col min="6" max="7" width="1.88671875" customWidth="1"/>
    <col min="8" max="8" width="14.109375" bestFit="1" customWidth="1"/>
    <col min="9" max="9" width="16.5546875" bestFit="1" customWidth="1"/>
    <col min="10" max="13" width="10.44140625" bestFit="1" customWidth="1"/>
  </cols>
  <sheetData>
    <row r="1" spans="1:13">
      <c r="A1" s="56" t="s">
        <v>406</v>
      </c>
    </row>
    <row r="2" spans="1:13">
      <c r="A2" s="58" t="s">
        <v>13</v>
      </c>
    </row>
    <row r="3" spans="1:13">
      <c r="A3" s="56" t="s">
        <v>54</v>
      </c>
      <c r="H3" s="153">
        <v>9</v>
      </c>
      <c r="I3" s="89">
        <v>12</v>
      </c>
      <c r="J3" s="89">
        <v>12</v>
      </c>
      <c r="K3" s="89">
        <v>12</v>
      </c>
      <c r="L3" s="89">
        <v>12</v>
      </c>
      <c r="M3" s="89">
        <v>12</v>
      </c>
    </row>
    <row r="4" spans="1:13">
      <c r="A4" s="61"/>
      <c r="H4" s="155">
        <v>46387</v>
      </c>
      <c r="I4" s="155">
        <v>46752</v>
      </c>
      <c r="J4" s="155">
        <v>47118</v>
      </c>
      <c r="K4" s="155">
        <v>47483</v>
      </c>
      <c r="L4" s="155">
        <v>47848</v>
      </c>
      <c r="M4" s="155">
        <v>48213</v>
      </c>
    </row>
    <row r="5" spans="1:13">
      <c r="A5" s="57"/>
      <c r="B5" s="64"/>
      <c r="C5" s="64"/>
      <c r="D5" s="64"/>
      <c r="E5" s="64"/>
      <c r="F5" s="64"/>
      <c r="G5" s="64"/>
      <c r="H5" s="64"/>
      <c r="I5" s="64"/>
    </row>
    <row r="6" spans="1:13">
      <c r="A6" s="90" t="s">
        <v>55</v>
      </c>
      <c r="B6" s="64"/>
      <c r="C6" s="64"/>
      <c r="D6" s="64"/>
      <c r="E6" s="64"/>
      <c r="F6" s="64"/>
      <c r="G6" s="64"/>
      <c r="H6" s="64"/>
      <c r="I6" s="64"/>
    </row>
    <row r="7" spans="1:13">
      <c r="A7" s="91" t="s">
        <v>281</v>
      </c>
      <c r="B7" s="64"/>
      <c r="C7" s="64"/>
      <c r="D7" s="64"/>
      <c r="E7" s="64"/>
      <c r="F7" s="64"/>
      <c r="G7" s="64"/>
      <c r="H7" s="64">
        <f>'McD IS'!H52</f>
        <v>8036.6622660163066</v>
      </c>
      <c r="I7" s="64">
        <f>'McD IS'!J52</f>
        <v>11130.945330277838</v>
      </c>
      <c r="J7" s="64">
        <f>'McD IS'!K52</f>
        <v>11996.914380413889</v>
      </c>
      <c r="K7" s="64">
        <f>'McD IS'!L52</f>
        <v>12913.834502469381</v>
      </c>
      <c r="L7" s="64">
        <f>'McD IS'!M52</f>
        <v>13844.840522489663</v>
      </c>
      <c r="M7" s="64">
        <f>'McD IS'!N52</f>
        <v>14770.143467395319</v>
      </c>
    </row>
    <row r="8" spans="1:13">
      <c r="A8" s="91" t="s">
        <v>215</v>
      </c>
      <c r="B8" s="64"/>
      <c r="C8" s="64"/>
      <c r="D8" s="64"/>
      <c r="E8" s="64"/>
      <c r="F8" s="64"/>
      <c r="G8" s="64"/>
      <c r="H8" s="64">
        <f>'Fixed Assets Schedule'!H9</f>
        <v>1611.7207292727501</v>
      </c>
      <c r="I8" s="64">
        <f>'Fixed Assets Schedule'!I9</f>
        <v>2264.9842467442122</v>
      </c>
      <c r="J8" s="64">
        <f>'Fixed Assets Schedule'!J9</f>
        <v>2348.9095994465065</v>
      </c>
      <c r="K8" s="64">
        <f>'Fixed Assets Schedule'!K9</f>
        <v>2441.5179800793157</v>
      </c>
      <c r="L8" s="64">
        <f>'Fixed Assets Schedule'!L9</f>
        <v>2543.0743888300035</v>
      </c>
      <c r="M8" s="64">
        <f>'Fixed Assets Schedule'!M9</f>
        <v>2653.8776906403805</v>
      </c>
    </row>
    <row r="9" spans="1:13">
      <c r="A9" s="91" t="s">
        <v>216</v>
      </c>
      <c r="B9" s="64"/>
      <c r="C9" s="64"/>
      <c r="D9" s="64"/>
      <c r="E9" s="64"/>
      <c r="F9" s="64"/>
      <c r="G9" s="64"/>
      <c r="H9" s="64">
        <f>'McD IS'!H95</f>
        <v>154.11793791362328</v>
      </c>
      <c r="I9" s="64">
        <f>'McD IS'!J95</f>
        <v>211.79979668185857</v>
      </c>
      <c r="J9" s="64">
        <f>'McD IS'!K95</f>
        <v>224.50778448277009</v>
      </c>
      <c r="K9" s="64">
        <f>'McD IS'!L95</f>
        <v>237.97825155173635</v>
      </c>
      <c r="L9" s="64">
        <f>'McD IS'!M95</f>
        <v>252.25694664484055</v>
      </c>
      <c r="M9" s="64">
        <f>'McD IS'!N95</f>
        <v>267.392363443531</v>
      </c>
    </row>
    <row r="10" spans="1:13">
      <c r="A10" s="486" t="s">
        <v>217</v>
      </c>
      <c r="B10" s="64"/>
      <c r="C10" s="64"/>
      <c r="D10" s="64"/>
      <c r="E10" s="64"/>
      <c r="F10" s="64"/>
      <c r="G10" s="64"/>
      <c r="H10" s="64">
        <f>'Debt Schedule'!H13</f>
        <v>1152.9111073608174</v>
      </c>
      <c r="I10" s="64">
        <f>'Debt Schedule'!I13</f>
        <v>1475.8680375140118</v>
      </c>
      <c r="J10" s="64">
        <f>'Debt Schedule'!J13</f>
        <v>1315.5155089799478</v>
      </c>
      <c r="K10" s="64">
        <f>'Debt Schedule'!K13</f>
        <v>1146.8070939344875</v>
      </c>
      <c r="L10" s="64">
        <f>'Debt Schedule'!L13</f>
        <v>1019.3989895130154</v>
      </c>
      <c r="M10" s="64">
        <f>'Debt Schedule'!M13</f>
        <v>961.69354390335047</v>
      </c>
    </row>
    <row r="11" spans="1:13">
      <c r="A11" s="57" t="s">
        <v>214</v>
      </c>
      <c r="B11" s="64"/>
      <c r="C11" s="156"/>
      <c r="D11" s="156"/>
      <c r="E11" s="156"/>
      <c r="F11" s="156"/>
      <c r="G11" s="156"/>
      <c r="H11" s="93">
        <f>-'McD-BS'!H68</f>
        <v>33.141529621811969</v>
      </c>
      <c r="I11" s="93">
        <f>-'McD-BS'!I68</f>
        <v>-145.41378071768213</v>
      </c>
      <c r="J11" s="93">
        <f>-'McD-BS'!J68</f>
        <v>-153.61633506575163</v>
      </c>
      <c r="K11" s="93">
        <f>-'McD-BS'!K68</f>
        <v>-162.83331516969884</v>
      </c>
      <c r="L11" s="93">
        <f>-'McD-BS'!L68</f>
        <v>-172.60331407987906</v>
      </c>
      <c r="M11" s="93">
        <f>-'McD-BS'!M68</f>
        <v>-182.95951292467225</v>
      </c>
    </row>
    <row r="12" spans="1:13">
      <c r="A12" s="90" t="s">
        <v>56</v>
      </c>
      <c r="B12" s="66"/>
      <c r="C12" s="69"/>
      <c r="D12" s="69"/>
      <c r="E12" s="69"/>
      <c r="F12" s="69"/>
      <c r="G12" s="69"/>
      <c r="H12" s="241">
        <f>SUM(H7:H11)</f>
        <v>10988.553570185308</v>
      </c>
      <c r="I12" s="241">
        <f t="shared" ref="I12:M12" si="0">SUM(I7:I11)</f>
        <v>14938.18363050024</v>
      </c>
      <c r="J12" s="241">
        <f t="shared" si="0"/>
        <v>15732.230938257362</v>
      </c>
      <c r="K12" s="241">
        <f t="shared" si="0"/>
        <v>16577.304512865223</v>
      </c>
      <c r="L12" s="241">
        <f t="shared" si="0"/>
        <v>17486.967533397641</v>
      </c>
      <c r="M12" s="241">
        <f t="shared" si="0"/>
        <v>18470.147552457907</v>
      </c>
    </row>
    <row r="13" spans="1:13">
      <c r="A13" s="57"/>
      <c r="B13" s="64"/>
      <c r="C13" s="64"/>
      <c r="D13" s="64"/>
      <c r="E13" s="64"/>
      <c r="F13" s="64"/>
      <c r="G13" s="64"/>
      <c r="H13" s="64"/>
      <c r="I13" s="64"/>
    </row>
    <row r="14" spans="1:13">
      <c r="A14" s="90" t="s">
        <v>57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</row>
    <row r="15" spans="1:13">
      <c r="A15" s="91" t="s">
        <v>58</v>
      </c>
      <c r="B15" s="93"/>
      <c r="C15" s="93"/>
      <c r="D15" s="93"/>
      <c r="E15" s="93"/>
      <c r="F15" s="93"/>
      <c r="G15" s="93"/>
      <c r="H15" s="93">
        <f>-'Fixed Assets Schedule'!H7</f>
        <v>-2375.7676913788646</v>
      </c>
      <c r="I15" s="93">
        <f>-'Fixed Assets Schedule'!I7</f>
        <v>-3264.9483947766521</v>
      </c>
      <c r="J15" s="93">
        <f>-'Fixed Assets Schedule'!J7</f>
        <v>-3460.8452984632513</v>
      </c>
      <c r="K15" s="93">
        <f>-'Fixed Assets Schedule'!K7</f>
        <v>-3668.4960163710471</v>
      </c>
      <c r="L15" s="93">
        <f>-'Fixed Assets Schedule'!L7</f>
        <v>-3888.6057773533103</v>
      </c>
      <c r="M15" s="93">
        <f>-'Fixed Assets Schedule'!M7</f>
        <v>-4121.9221239945091</v>
      </c>
    </row>
    <row r="16" spans="1:13">
      <c r="A16" s="57"/>
      <c r="B16" s="64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</row>
    <row r="17" spans="1:17">
      <c r="A17" s="90" t="s">
        <v>59</v>
      </c>
      <c r="B17" s="94"/>
      <c r="C17" s="95"/>
      <c r="D17" s="95"/>
      <c r="E17" s="95"/>
      <c r="F17" s="95"/>
      <c r="G17" s="95"/>
      <c r="H17" s="95">
        <f>H15</f>
        <v>-2375.7676913788646</v>
      </c>
      <c r="I17" s="95">
        <f t="shared" ref="I17:M17" si="1">I15</f>
        <v>-3264.9483947766521</v>
      </c>
      <c r="J17" s="95">
        <f t="shared" si="1"/>
        <v>-3460.8452984632513</v>
      </c>
      <c r="K17" s="95">
        <f t="shared" si="1"/>
        <v>-3668.4960163710471</v>
      </c>
      <c r="L17" s="95">
        <f t="shared" si="1"/>
        <v>-3888.6057773533103</v>
      </c>
      <c r="M17" s="95">
        <f t="shared" si="1"/>
        <v>-4121.9221239945091</v>
      </c>
    </row>
    <row r="18" spans="1:17">
      <c r="A18" s="57"/>
      <c r="B18" s="64"/>
      <c r="C18" s="64"/>
      <c r="D18" s="64"/>
      <c r="E18" s="64"/>
      <c r="F18" s="64"/>
      <c r="G18" s="64"/>
      <c r="H18" s="64"/>
      <c r="I18" s="64"/>
    </row>
    <row r="19" spans="1:17">
      <c r="A19" s="90" t="s">
        <v>60</v>
      </c>
      <c r="B19" s="64"/>
      <c r="C19" s="64"/>
      <c r="D19" s="64"/>
      <c r="E19" s="64"/>
      <c r="F19" s="64"/>
      <c r="G19" s="64"/>
      <c r="H19" s="64"/>
      <c r="I19" s="64"/>
    </row>
    <row r="20" spans="1:17">
      <c r="A20" s="91" t="s">
        <v>61</v>
      </c>
      <c r="B20" s="93"/>
      <c r="C20" s="93"/>
      <c r="D20" s="93"/>
      <c r="E20" s="93"/>
      <c r="F20" s="93"/>
      <c r="G20" s="93"/>
      <c r="H20" s="93">
        <f>-'McD IS'!H61</f>
        <v>-4984.1804754788191</v>
      </c>
      <c r="I20" s="93">
        <f>-'McD IS'!J61</f>
        <v>-6903.1942058071754</v>
      </c>
      <c r="J20" s="93">
        <f>-'McD IS'!K61</f>
        <v>-7440.2512438151343</v>
      </c>
      <c r="K20" s="93">
        <f>-'McD IS'!L61</f>
        <v>-8008.9071383458358</v>
      </c>
      <c r="L20" s="93">
        <f>-'McD IS'!M61</f>
        <v>-8586.2988308100357</v>
      </c>
      <c r="M20" s="93">
        <f>-'McD IS'!N61</f>
        <v>-9160.1535878281993</v>
      </c>
      <c r="N20" s="75"/>
      <c r="O20" s="93"/>
    </row>
    <row r="21" spans="1:17">
      <c r="A21" s="91" t="s">
        <v>62</v>
      </c>
      <c r="B21" s="65"/>
      <c r="C21" s="65"/>
      <c r="D21" s="65"/>
      <c r="E21" s="65"/>
      <c r="F21" s="65"/>
      <c r="G21" s="65"/>
      <c r="H21">
        <f>'Debt Schedule'!H7</f>
        <v>0</v>
      </c>
      <c r="I21">
        <f>'Debt Schedule'!I7</f>
        <v>0</v>
      </c>
      <c r="J21">
        <f>'Debt Schedule'!J7</f>
        <v>0</v>
      </c>
      <c r="K21">
        <f>'Debt Schedule'!K7</f>
        <v>0</v>
      </c>
      <c r="L21">
        <f>'Debt Schedule'!L7</f>
        <v>0</v>
      </c>
      <c r="M21">
        <f>'Debt Schedule'!M7</f>
        <v>0</v>
      </c>
      <c r="O21" s="64"/>
    </row>
    <row r="22" spans="1:17">
      <c r="A22" s="91" t="s">
        <v>63</v>
      </c>
      <c r="B22" s="93"/>
      <c r="C22" s="93"/>
      <c r="D22" s="93"/>
      <c r="E22" s="93"/>
      <c r="F22" s="93"/>
      <c r="G22" s="93"/>
      <c r="H22" s="95">
        <f>-'Debt Schedule'!H6</f>
        <v>0</v>
      </c>
      <c r="I22" s="95">
        <f>-'Debt Schedule'!I6</f>
        <v>-3201</v>
      </c>
      <c r="J22" s="95">
        <f>-'Debt Schedule'!J6</f>
        <v>-5166</v>
      </c>
      <c r="K22" s="95">
        <f>-'Debt Schedule'!K6</f>
        <v>-3637</v>
      </c>
      <c r="L22" s="95">
        <f>-'Debt Schedule'!L6</f>
        <v>-3011</v>
      </c>
      <c r="M22" s="95">
        <f>-'Debt Schedule'!M6</f>
        <v>0</v>
      </c>
      <c r="O22" s="93"/>
    </row>
    <row r="23" spans="1:17">
      <c r="A23" s="487" t="s">
        <v>73</v>
      </c>
      <c r="B23" s="156"/>
      <c r="C23" s="156"/>
      <c r="D23" s="156"/>
      <c r="E23" s="156"/>
      <c r="F23" s="156"/>
      <c r="G23" s="156"/>
      <c r="H23" s="492">
        <f>-'Debt Schedule'!H13</f>
        <v>-1152.9111073608174</v>
      </c>
      <c r="I23" s="492">
        <f>-'Debt Schedule'!I13</f>
        <v>-1475.8680375140118</v>
      </c>
      <c r="J23" s="492">
        <f>-'Debt Schedule'!J13</f>
        <v>-1315.5155089799478</v>
      </c>
      <c r="K23" s="492">
        <f>-'Debt Schedule'!K13</f>
        <v>-1146.8070939344875</v>
      </c>
      <c r="L23" s="492">
        <f>-'Debt Schedule'!L13</f>
        <v>-1019.3989895130154</v>
      </c>
      <c r="M23" s="492">
        <f>-'Debt Schedule'!M13</f>
        <v>-961.69354390335047</v>
      </c>
    </row>
    <row r="24" spans="1:17">
      <c r="A24" s="90" t="s">
        <v>64</v>
      </c>
      <c r="B24" s="95"/>
      <c r="C24" s="95"/>
      <c r="D24" s="95"/>
      <c r="E24" s="95"/>
      <c r="F24" s="95"/>
      <c r="G24" s="95"/>
      <c r="H24" s="493">
        <f>SUM(H20:H23)</f>
        <v>-6137.0915828396364</v>
      </c>
      <c r="I24" s="493">
        <f t="shared" ref="I24:M24" si="2">SUM(I20:I23)</f>
        <v>-11580.062243321188</v>
      </c>
      <c r="J24" s="493">
        <f t="shared" si="2"/>
        <v>-13921.766752795083</v>
      </c>
      <c r="K24" s="493">
        <f t="shared" si="2"/>
        <v>-12792.714232280323</v>
      </c>
      <c r="L24" s="493">
        <f t="shared" si="2"/>
        <v>-12616.697820323052</v>
      </c>
      <c r="M24" s="493">
        <f t="shared" si="2"/>
        <v>-10121.847131731549</v>
      </c>
      <c r="O24" s="95"/>
    </row>
    <row r="25" spans="1:17">
      <c r="A25" s="57"/>
      <c r="B25" s="64"/>
      <c r="C25" s="156"/>
      <c r="D25" s="156"/>
      <c r="E25" s="156"/>
      <c r="F25" s="156"/>
      <c r="G25" s="156"/>
      <c r="H25" s="54"/>
      <c r="I25" s="156"/>
      <c r="J25" s="54"/>
      <c r="K25" s="54"/>
      <c r="L25" s="54"/>
      <c r="M25" s="54"/>
    </row>
    <row r="26" spans="1:17" s="53" customFormat="1">
      <c r="A26" s="90" t="s">
        <v>65</v>
      </c>
      <c r="B26" s="96"/>
      <c r="C26" s="157"/>
      <c r="D26" s="157"/>
      <c r="E26" s="157"/>
      <c r="F26" s="157"/>
      <c r="G26" s="157"/>
      <c r="H26" s="364">
        <f>SUM(H12,H17,H24)</f>
        <v>2475.6942959668077</v>
      </c>
      <c r="I26" s="364">
        <f t="shared" ref="I26:M26" si="3">SUM(I12,I17,I24)</f>
        <v>93.172992402398449</v>
      </c>
      <c r="J26" s="364">
        <f t="shared" si="3"/>
        <v>-1650.3811130009726</v>
      </c>
      <c r="K26" s="364">
        <f t="shared" si="3"/>
        <v>116.09426421385251</v>
      </c>
      <c r="L26" s="364">
        <f t="shared" si="3"/>
        <v>981.6639357212789</v>
      </c>
      <c r="M26" s="364">
        <f t="shared" si="3"/>
        <v>4226.3782967318493</v>
      </c>
      <c r="O26"/>
      <c r="P26"/>
      <c r="Q26"/>
    </row>
    <row r="27" spans="1:17">
      <c r="A27" s="90" t="s">
        <v>66</v>
      </c>
      <c r="B27" s="156"/>
      <c r="C27" s="156"/>
      <c r="D27" s="156"/>
      <c r="E27" s="156"/>
      <c r="F27" s="156"/>
      <c r="G27" s="156"/>
      <c r="H27" s="491">
        <f>'McD-BS'!G7</f>
        <v>1170</v>
      </c>
      <c r="I27" s="75">
        <f>H28</f>
        <v>3645.6942959668077</v>
      </c>
      <c r="J27" s="75">
        <f t="shared" ref="J27:M27" si="4">I28</f>
        <v>3738.8672883692061</v>
      </c>
      <c r="K27" s="75">
        <f t="shared" si="4"/>
        <v>2088.4861753682335</v>
      </c>
      <c r="L27" s="75">
        <f t="shared" si="4"/>
        <v>2204.580439582086</v>
      </c>
      <c r="M27" s="75">
        <f t="shared" si="4"/>
        <v>3186.2443753033649</v>
      </c>
    </row>
    <row r="28" spans="1:17" s="53" customFormat="1" ht="15" thickBot="1">
      <c r="A28" s="90" t="s">
        <v>67</v>
      </c>
      <c r="B28" s="98"/>
      <c r="C28" s="98"/>
      <c r="D28" s="98"/>
      <c r="E28" s="98"/>
      <c r="F28" s="98"/>
      <c r="G28" s="98"/>
      <c r="H28" s="494">
        <f>SUM(H26,H27)</f>
        <v>3645.6942959668077</v>
      </c>
      <c r="I28" s="494">
        <f t="shared" ref="I28:M28" si="5">SUM(I26,I27)</f>
        <v>3738.8672883692061</v>
      </c>
      <c r="J28" s="494">
        <f t="shared" si="5"/>
        <v>2088.4861753682335</v>
      </c>
      <c r="K28" s="494">
        <f t="shared" si="5"/>
        <v>2204.580439582086</v>
      </c>
      <c r="L28" s="494">
        <f t="shared" si="5"/>
        <v>3186.2443753033649</v>
      </c>
      <c r="M28" s="494">
        <f t="shared" si="5"/>
        <v>7412.6226720352142</v>
      </c>
      <c r="O28"/>
      <c r="P28"/>
      <c r="Q28"/>
    </row>
    <row r="29" spans="1:17" ht="15" thickTop="1">
      <c r="B29" s="64"/>
      <c r="C29" s="64"/>
      <c r="D29" s="64"/>
      <c r="E29" s="64"/>
      <c r="F29" s="64"/>
      <c r="G29" s="64"/>
      <c r="H29" s="64"/>
      <c r="I29" s="64"/>
    </row>
    <row r="30" spans="1:17">
      <c r="B30" s="64"/>
      <c r="C30" s="64"/>
      <c r="D30" s="64"/>
      <c r="E30" s="64"/>
      <c r="F30" s="64"/>
      <c r="G30" s="64"/>
      <c r="H30" s="64"/>
      <c r="I30" s="64"/>
    </row>
    <row r="31" spans="1:17">
      <c r="B31" s="64"/>
      <c r="C31" s="64"/>
      <c r="D31" s="64"/>
      <c r="E31" s="64"/>
      <c r="F31" s="64"/>
      <c r="G31" s="64"/>
      <c r="H31" s="64"/>
      <c r="I31" s="6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2"/>
  <sheetViews>
    <sheetView showGridLines="0" zoomScaleNormal="100" workbookViewId="0">
      <selection activeCell="J19" sqref="J19"/>
    </sheetView>
  </sheetViews>
  <sheetFormatPr defaultColWidth="9" defaultRowHeight="14.4"/>
  <cols>
    <col min="1" max="1" width="36.88671875" customWidth="1"/>
    <col min="2" max="2" width="1.6640625" customWidth="1"/>
    <col min="3" max="3" width="2.109375" customWidth="1"/>
    <col min="4" max="4" width="1.88671875" customWidth="1"/>
    <col min="5" max="5" width="2.5546875" customWidth="1"/>
    <col min="6" max="6" width="2" customWidth="1"/>
    <col min="7" max="7" width="1.5546875" customWidth="1"/>
    <col min="8" max="13" width="12.109375" customWidth="1"/>
    <col min="14" max="14" width="15.44140625" customWidth="1"/>
    <col min="15" max="15" width="11.5546875" customWidth="1"/>
  </cols>
  <sheetData>
    <row r="1" spans="1:14">
      <c r="A1" s="77" t="s">
        <v>406</v>
      </c>
    </row>
    <row r="2" spans="1:14">
      <c r="A2" s="78" t="s">
        <v>13</v>
      </c>
    </row>
    <row r="3" spans="1:14">
      <c r="A3" s="77" t="s">
        <v>68</v>
      </c>
      <c r="B3" s="77"/>
      <c r="C3" s="77"/>
      <c r="D3" s="77"/>
      <c r="E3" s="77"/>
      <c r="F3" s="77"/>
      <c r="G3" s="77"/>
      <c r="H3" s="153">
        <v>9</v>
      </c>
      <c r="I3" s="89">
        <v>12</v>
      </c>
      <c r="J3" s="89">
        <v>12</v>
      </c>
      <c r="K3" s="89">
        <v>12</v>
      </c>
      <c r="L3" s="89">
        <v>12</v>
      </c>
      <c r="M3" s="89">
        <v>12</v>
      </c>
    </row>
    <row r="4" spans="1:14">
      <c r="A4" s="79"/>
      <c r="B4" s="77"/>
      <c r="C4" s="77"/>
      <c r="D4" s="77"/>
      <c r="E4" s="77"/>
      <c r="F4" s="77"/>
      <c r="G4" s="77"/>
      <c r="H4" s="155">
        <v>46387</v>
      </c>
      <c r="I4" s="155">
        <v>46752</v>
      </c>
      <c r="J4" s="155">
        <v>47118</v>
      </c>
      <c r="K4" s="155">
        <v>47483</v>
      </c>
      <c r="L4" s="155">
        <v>47848</v>
      </c>
      <c r="M4" s="155">
        <v>48213</v>
      </c>
    </row>
    <row r="5" spans="1:14">
      <c r="A5" t="s">
        <v>69</v>
      </c>
      <c r="B5" s="73"/>
      <c r="C5" s="73"/>
      <c r="D5" s="73"/>
      <c r="E5" s="73"/>
      <c r="F5" s="73"/>
      <c r="G5" s="73"/>
      <c r="H5" s="73">
        <f>'McD-BS'!G31+'McD-BS'!G24</f>
        <v>40105</v>
      </c>
      <c r="I5" s="73">
        <f>H8</f>
        <v>40105</v>
      </c>
      <c r="J5" s="73">
        <f t="shared" ref="J5:M5" si="0">I8</f>
        <v>36904</v>
      </c>
      <c r="K5" s="73">
        <f t="shared" si="0"/>
        <v>31738</v>
      </c>
      <c r="L5" s="73">
        <f t="shared" si="0"/>
        <v>28101</v>
      </c>
      <c r="M5" s="73">
        <f t="shared" si="0"/>
        <v>25090</v>
      </c>
    </row>
    <row r="6" spans="1:14">
      <c r="A6" s="482" t="s">
        <v>70</v>
      </c>
      <c r="B6" s="65"/>
      <c r="C6" s="65"/>
      <c r="D6" s="65"/>
      <c r="E6" s="65"/>
      <c r="F6" s="65"/>
      <c r="G6" s="65"/>
      <c r="H6" s="65">
        <v>0</v>
      </c>
      <c r="I6" s="65">
        <f>Raw!D150</f>
        <v>3201</v>
      </c>
      <c r="J6" s="65">
        <f>Raw!E150</f>
        <v>5166</v>
      </c>
      <c r="K6" s="65">
        <f>Raw!F150</f>
        <v>3637</v>
      </c>
      <c r="L6" s="65">
        <f>Raw!G150</f>
        <v>3011</v>
      </c>
      <c r="M6" s="65">
        <f>Raw!H150</f>
        <v>0</v>
      </c>
    </row>
    <row r="7" spans="1:14">
      <c r="A7" s="482" t="s">
        <v>71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>
      <c r="A8" s="183" t="s">
        <v>158</v>
      </c>
      <c r="B8" s="74"/>
      <c r="C8" s="74"/>
      <c r="D8" s="74"/>
      <c r="E8" s="74"/>
      <c r="F8" s="74"/>
      <c r="G8" s="74"/>
      <c r="H8" s="74">
        <f>H5-H6+H7</f>
        <v>40105</v>
      </c>
      <c r="I8" s="74">
        <f t="shared" ref="I8:M8" si="1">I5-I6+I7</f>
        <v>36904</v>
      </c>
      <c r="J8" s="74">
        <f t="shared" si="1"/>
        <v>31738</v>
      </c>
      <c r="K8" s="74">
        <f t="shared" si="1"/>
        <v>28101</v>
      </c>
      <c r="L8" s="74">
        <f t="shared" si="1"/>
        <v>25090</v>
      </c>
      <c r="M8" s="74">
        <f t="shared" si="1"/>
        <v>25090</v>
      </c>
    </row>
    <row r="9" spans="1:14">
      <c r="A9" s="81" t="s">
        <v>72</v>
      </c>
      <c r="B9" s="64"/>
      <c r="C9" s="64"/>
      <c r="D9" s="64"/>
      <c r="E9" s="64"/>
      <c r="F9" s="64"/>
      <c r="G9" s="64"/>
      <c r="H9" s="64">
        <f>I6</f>
        <v>3201</v>
      </c>
      <c r="I9" s="64">
        <f t="shared" ref="I9:K9" si="2">J6</f>
        <v>5166</v>
      </c>
      <c r="J9" s="64">
        <f t="shared" si="2"/>
        <v>3637</v>
      </c>
      <c r="K9" s="64">
        <f t="shared" si="2"/>
        <v>3011</v>
      </c>
      <c r="L9" s="64">
        <v>0</v>
      </c>
      <c r="M9" s="64">
        <v>0</v>
      </c>
    </row>
    <row r="10" spans="1:14">
      <c r="A10" s="482" t="s">
        <v>213</v>
      </c>
      <c r="B10" s="75"/>
      <c r="C10" s="75"/>
      <c r="D10" s="75"/>
      <c r="E10" s="75"/>
      <c r="F10" s="75"/>
      <c r="G10" s="75"/>
      <c r="H10" s="75">
        <f>H8-H9</f>
        <v>36904</v>
      </c>
      <c r="I10" s="75">
        <f t="shared" ref="I10:M10" si="3">I8-I9</f>
        <v>31738</v>
      </c>
      <c r="J10" s="75">
        <f t="shared" si="3"/>
        <v>28101</v>
      </c>
      <c r="K10" s="75">
        <f t="shared" si="3"/>
        <v>25090</v>
      </c>
      <c r="L10" s="75">
        <f t="shared" si="3"/>
        <v>25090</v>
      </c>
      <c r="M10" s="75">
        <f t="shared" si="3"/>
        <v>25090</v>
      </c>
    </row>
    <row r="11" spans="1:14" ht="14.4" customHeight="1">
      <c r="A11" s="82"/>
      <c r="B11" s="81"/>
      <c r="C11" s="81"/>
      <c r="D11" s="81"/>
      <c r="E11" s="81"/>
      <c r="F11" s="81"/>
      <c r="G11" s="81"/>
      <c r="H11" s="81"/>
      <c r="I11" s="672"/>
      <c r="J11" s="674"/>
      <c r="K11" s="674"/>
      <c r="L11" s="83"/>
      <c r="M11" s="672"/>
    </row>
    <row r="12" spans="1:14">
      <c r="A12" s="81"/>
      <c r="B12" s="84"/>
      <c r="C12" s="84"/>
      <c r="D12" s="84"/>
      <c r="E12" s="84"/>
      <c r="F12" s="84"/>
      <c r="G12" s="84"/>
      <c r="H12" s="84"/>
      <c r="I12" s="673"/>
      <c r="J12" s="83"/>
      <c r="K12" s="83"/>
      <c r="L12" s="83"/>
      <c r="M12" s="673"/>
    </row>
    <row r="13" spans="1:14">
      <c r="A13" s="482" t="s">
        <v>73</v>
      </c>
      <c r="B13" s="85"/>
      <c r="C13" s="85"/>
      <c r="D13" s="85"/>
      <c r="E13" s="85"/>
      <c r="F13" s="85"/>
      <c r="G13" s="85"/>
      <c r="H13" s="69">
        <f>H15*AVERAGE(H5,H8)*0.75</f>
        <v>1152.9111073608174</v>
      </c>
      <c r="I13" s="69">
        <f>$H$15*AVERAGE(I5,I8)</f>
        <v>1475.8680375140118</v>
      </c>
      <c r="J13" s="69">
        <f t="shared" ref="J13:M13" si="4">$H$15*AVERAGE(J5,J8)</f>
        <v>1315.5155089799478</v>
      </c>
      <c r="K13" s="69">
        <f t="shared" si="4"/>
        <v>1146.8070939344875</v>
      </c>
      <c r="L13" s="69">
        <f t="shared" si="4"/>
        <v>1019.3989895130154</v>
      </c>
      <c r="M13" s="69">
        <f t="shared" si="4"/>
        <v>961.69354390335047</v>
      </c>
    </row>
    <row r="14" spans="1:14">
      <c r="B14" s="70"/>
      <c r="C14" s="70"/>
      <c r="D14" s="70"/>
      <c r="E14" s="70"/>
      <c r="F14" s="70"/>
      <c r="G14" s="70"/>
      <c r="H14" s="70"/>
      <c r="L14" s="68"/>
      <c r="M14" s="68"/>
      <c r="N14" s="86"/>
    </row>
    <row r="15" spans="1:14">
      <c r="A15" s="81" t="s">
        <v>162</v>
      </c>
      <c r="B15" s="70"/>
      <c r="C15" s="70"/>
      <c r="D15" s="70"/>
      <c r="E15" s="70"/>
      <c r="F15" s="70"/>
      <c r="G15" s="70"/>
      <c r="H15" s="354">
        <f>Raw!F146</f>
        <v>3.8329754639432063E-2</v>
      </c>
      <c r="M15" s="141"/>
    </row>
    <row r="16" spans="1:14">
      <c r="B16" s="70"/>
      <c r="C16" s="70"/>
      <c r="D16" s="70"/>
      <c r="E16" s="70"/>
      <c r="F16" s="70"/>
      <c r="G16" s="70"/>
      <c r="H16" s="70"/>
      <c r="M16" s="141"/>
    </row>
    <row r="17" spans="1:13">
      <c r="M17" s="141"/>
    </row>
    <row r="18" spans="1:13">
      <c r="A18" s="235"/>
      <c r="M18" s="141"/>
    </row>
    <row r="19" spans="1:13">
      <c r="M19" s="141"/>
    </row>
    <row r="20" spans="1:13">
      <c r="A20" s="235"/>
      <c r="M20" s="141"/>
    </row>
    <row r="21" spans="1:13">
      <c r="A21" s="235"/>
      <c r="M21" s="141"/>
    </row>
    <row r="22" spans="1:13">
      <c r="M22" s="141"/>
    </row>
    <row r="32" spans="1:13">
      <c r="A32" s="87"/>
      <c r="B32" s="675"/>
      <c r="C32" s="675"/>
      <c r="D32" s="675"/>
      <c r="E32" s="675"/>
      <c r="F32" s="675"/>
      <c r="G32" s="675"/>
      <c r="H32" s="675"/>
      <c r="I32" s="675"/>
      <c r="J32" s="675"/>
      <c r="K32" s="675"/>
    </row>
    <row r="34" spans="1:13">
      <c r="A34" s="53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</row>
    <row r="35" spans="1:13">
      <c r="B35" s="73"/>
      <c r="C35" s="73"/>
      <c r="D35" s="73"/>
      <c r="E35" s="73"/>
      <c r="F35" s="73"/>
      <c r="G35" s="73"/>
      <c r="H35" s="73"/>
    </row>
    <row r="39" spans="1:13">
      <c r="A39" s="53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</row>
    <row r="40" spans="1:13">
      <c r="A40" s="53"/>
    </row>
    <row r="41" spans="1:13">
      <c r="B41" s="73"/>
      <c r="C41" s="73"/>
      <c r="D41" s="73"/>
      <c r="E41" s="73"/>
      <c r="F41" s="73"/>
      <c r="G41" s="73"/>
      <c r="H41" s="73"/>
    </row>
    <row r="42" spans="1:13">
      <c r="B42" s="73"/>
      <c r="C42" s="73"/>
      <c r="D42" s="73"/>
      <c r="E42" s="73"/>
      <c r="F42" s="73"/>
      <c r="G42" s="73"/>
      <c r="H42" s="73"/>
    </row>
    <row r="43" spans="1:13">
      <c r="I43" s="73"/>
      <c r="J43" s="73"/>
      <c r="K43" s="73"/>
      <c r="L43" s="73"/>
      <c r="M43" s="73"/>
    </row>
    <row r="44" spans="1:13"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</row>
    <row r="46" spans="1:13">
      <c r="A46" s="53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</row>
    <row r="47" spans="1:13">
      <c r="B47" s="73"/>
      <c r="C47" s="73"/>
      <c r="D47" s="73"/>
      <c r="E47" s="73"/>
      <c r="F47" s="73"/>
      <c r="G47" s="73"/>
      <c r="H47" s="73"/>
    </row>
    <row r="49" spans="2:13">
      <c r="B49" s="73"/>
      <c r="C49" s="73"/>
      <c r="D49" s="73"/>
      <c r="E49" s="73"/>
      <c r="F49" s="73"/>
      <c r="G49" s="73"/>
      <c r="H49" s="73"/>
    </row>
    <row r="52" spans="2:13"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</row>
  </sheetData>
  <mergeCells count="5">
    <mergeCell ref="M11:M12"/>
    <mergeCell ref="J11:K11"/>
    <mergeCell ref="B32:I32"/>
    <mergeCell ref="J32:K32"/>
    <mergeCell ref="I11:I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4"/>
  <sheetViews>
    <sheetView showGridLines="0" zoomScaleNormal="100" workbookViewId="0">
      <selection activeCell="K13" sqref="K13"/>
    </sheetView>
  </sheetViews>
  <sheetFormatPr defaultColWidth="8.6640625" defaultRowHeight="14.4"/>
  <cols>
    <col min="1" max="1" width="48.109375" customWidth="1"/>
    <col min="2" max="3" width="11.109375" customWidth="1"/>
    <col min="4" max="4" width="11.88671875" customWidth="1"/>
    <col min="5" max="6" width="15.33203125" customWidth="1"/>
    <col min="7" max="7" width="9.88671875" customWidth="1"/>
    <col min="8" max="8" width="11.88671875" customWidth="1"/>
    <col min="9" max="12" width="10.6640625" bestFit="1" customWidth="1"/>
    <col min="13" max="13" width="10.33203125" bestFit="1" customWidth="1"/>
  </cols>
  <sheetData>
    <row r="1" spans="1:14">
      <c r="A1" s="56" t="s">
        <v>406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4">
      <c r="A2" s="58" t="s">
        <v>13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4">
      <c r="A3" s="56" t="s">
        <v>76</v>
      </c>
      <c r="B3" s="143">
        <v>12</v>
      </c>
      <c r="C3" s="143">
        <v>12</v>
      </c>
      <c r="D3" s="143">
        <v>12</v>
      </c>
      <c r="E3" s="143">
        <v>12</v>
      </c>
      <c r="F3" s="143">
        <v>12</v>
      </c>
      <c r="G3" s="143">
        <v>3</v>
      </c>
      <c r="H3" s="153">
        <v>9</v>
      </c>
      <c r="I3" s="153">
        <v>12</v>
      </c>
      <c r="J3" s="153">
        <v>12</v>
      </c>
      <c r="K3" s="153">
        <v>12</v>
      </c>
      <c r="L3" s="153">
        <v>12</v>
      </c>
      <c r="M3" s="153">
        <v>12</v>
      </c>
    </row>
    <row r="4" spans="1:14">
      <c r="A4" s="61"/>
      <c r="B4" s="154">
        <v>44561</v>
      </c>
      <c r="C4" s="154">
        <v>44926</v>
      </c>
      <c r="D4" s="154">
        <v>45291</v>
      </c>
      <c r="E4" s="154">
        <v>45657</v>
      </c>
      <c r="F4" s="154">
        <v>46022</v>
      </c>
      <c r="G4" s="154">
        <v>46112</v>
      </c>
      <c r="H4" s="155">
        <v>46387</v>
      </c>
      <c r="I4" s="155">
        <v>46752</v>
      </c>
      <c r="J4" s="155">
        <v>47118</v>
      </c>
      <c r="K4" s="155">
        <v>47483</v>
      </c>
      <c r="L4" s="155">
        <v>47848</v>
      </c>
      <c r="M4" s="155">
        <v>48213</v>
      </c>
    </row>
    <row r="5" spans="1:14">
      <c r="B5" s="64"/>
      <c r="C5" s="64"/>
      <c r="D5" s="64"/>
      <c r="E5" s="64"/>
      <c r="F5" s="64"/>
      <c r="G5" s="65"/>
      <c r="H5" s="64"/>
      <c r="I5" s="64"/>
      <c r="J5" s="64"/>
      <c r="K5" s="64"/>
      <c r="L5" s="64"/>
    </row>
    <row r="6" spans="1:14" s="53" customFormat="1">
      <c r="A6" s="90" t="s">
        <v>77</v>
      </c>
      <c r="B6" s="214"/>
      <c r="C6" s="214">
        <f>B10</f>
        <v>24720.6</v>
      </c>
      <c r="D6" s="214">
        <f t="shared" ref="D6:G6" si="0">C10</f>
        <v>23773.599999999999</v>
      </c>
      <c r="E6" s="214">
        <f t="shared" si="0"/>
        <v>24907.599999999999</v>
      </c>
      <c r="F6" s="214">
        <f t="shared" si="0"/>
        <v>25295</v>
      </c>
      <c r="G6" s="214">
        <f t="shared" si="0"/>
        <v>28241</v>
      </c>
      <c r="H6" s="97">
        <f>G10</f>
        <v>28245</v>
      </c>
      <c r="I6" s="97">
        <f>H10</f>
        <v>29009.046962106113</v>
      </c>
      <c r="J6" s="97">
        <f t="shared" ref="J6:M6" si="1">I10</f>
        <v>30009.011110138556</v>
      </c>
      <c r="K6" s="97">
        <f t="shared" si="1"/>
        <v>31120.946809155303</v>
      </c>
      <c r="L6" s="97">
        <f t="shared" si="1"/>
        <v>32347.924845447033</v>
      </c>
      <c r="M6" s="97">
        <f t="shared" si="1"/>
        <v>33693.456233970341</v>
      </c>
    </row>
    <row r="7" spans="1:14">
      <c r="A7" s="484" t="s">
        <v>78</v>
      </c>
      <c r="B7" s="65"/>
      <c r="C7" s="65">
        <f>C8-C6</f>
        <v>877.40000000000146</v>
      </c>
      <c r="D7" s="65">
        <f t="shared" ref="D7:G7" si="2">D8-D6</f>
        <v>3016.7000000000007</v>
      </c>
      <c r="E7" s="65">
        <f t="shared" si="2"/>
        <v>2334.4000000000015</v>
      </c>
      <c r="F7" s="65">
        <f t="shared" si="2"/>
        <v>5003</v>
      </c>
      <c r="G7" s="65">
        <f t="shared" si="2"/>
        <v>545.86558244048138</v>
      </c>
      <c r="H7" s="65">
        <f>'McD IS'!H8*'Fixed Assets Schedule'!H14</f>
        <v>2375.7676913788646</v>
      </c>
      <c r="I7" s="65">
        <f>'McD IS'!J8*'Fixed Assets Schedule'!$H$14</f>
        <v>3264.9483947766521</v>
      </c>
      <c r="J7" s="65">
        <f>'McD IS'!K8*'Fixed Assets Schedule'!$H$14</f>
        <v>3460.8452984632513</v>
      </c>
      <c r="K7" s="65">
        <f>'McD IS'!L8*'Fixed Assets Schedule'!$H$14</f>
        <v>3668.4960163710471</v>
      </c>
      <c r="L7" s="65">
        <f>'McD IS'!M8*'Fixed Assets Schedule'!$H$14</f>
        <v>3888.6057773533103</v>
      </c>
      <c r="M7" s="65">
        <f>'McD IS'!N8*'Fixed Assets Schedule'!$H$14</f>
        <v>4121.9221239945091</v>
      </c>
      <c r="N7" s="371"/>
    </row>
    <row r="8" spans="1:14" s="53" customFormat="1">
      <c r="A8" s="90" t="s">
        <v>79</v>
      </c>
      <c r="B8" s="96">
        <f>B10+B9</f>
        <v>26581</v>
      </c>
      <c r="C8" s="96">
        <f t="shared" ref="C8:G8" si="3">C10+C9</f>
        <v>25598</v>
      </c>
      <c r="D8" s="96">
        <f t="shared" si="3"/>
        <v>26790.3</v>
      </c>
      <c r="E8" s="96">
        <f t="shared" si="3"/>
        <v>27242</v>
      </c>
      <c r="F8" s="96">
        <f t="shared" si="3"/>
        <v>30298</v>
      </c>
      <c r="G8" s="96">
        <f t="shared" si="3"/>
        <v>28786.865582440481</v>
      </c>
      <c r="H8" s="211">
        <f>H6+H7</f>
        <v>30620.767691378864</v>
      </c>
      <c r="I8" s="211">
        <f t="shared" ref="I8:M8" si="4">I6+I7</f>
        <v>32273.995356882766</v>
      </c>
      <c r="J8" s="211">
        <f t="shared" si="4"/>
        <v>33469.856408601809</v>
      </c>
      <c r="K8" s="211">
        <f t="shared" si="4"/>
        <v>34789.442825526348</v>
      </c>
      <c r="L8" s="211">
        <f t="shared" si="4"/>
        <v>36236.530622800346</v>
      </c>
      <c r="M8" s="211">
        <f t="shared" si="4"/>
        <v>37815.378357964852</v>
      </c>
    </row>
    <row r="9" spans="1:14">
      <c r="A9" s="57" t="s">
        <v>80</v>
      </c>
      <c r="B9" s="65">
        <f>'McD IS'!B31</f>
        <v>1860.4</v>
      </c>
      <c r="C9" s="65">
        <f>'McD IS'!C31</f>
        <v>1824.4</v>
      </c>
      <c r="D9" s="65">
        <f>'McD IS'!D31</f>
        <v>1882.7</v>
      </c>
      <c r="E9" s="65">
        <f>'McD IS'!E31</f>
        <v>1947</v>
      </c>
      <c r="F9" s="65">
        <f>'McD IS'!F31</f>
        <v>2057</v>
      </c>
      <c r="G9" s="65">
        <f>'McD IS'!G31</f>
        <v>541.86558244048194</v>
      </c>
      <c r="H9" s="64">
        <f>H8*H15*0.75</f>
        <v>1611.7207292727501</v>
      </c>
      <c r="I9" s="64">
        <f>I8*$H$15</f>
        <v>2264.9842467442122</v>
      </c>
      <c r="J9" s="64">
        <f t="shared" ref="J9:M9" si="5">J8*$H$15</f>
        <v>2348.9095994465065</v>
      </c>
      <c r="K9" s="64">
        <f t="shared" si="5"/>
        <v>2441.5179800793157</v>
      </c>
      <c r="L9" s="64">
        <f t="shared" si="5"/>
        <v>2543.0743888300035</v>
      </c>
      <c r="M9" s="64">
        <f t="shared" si="5"/>
        <v>2653.8776906403805</v>
      </c>
      <c r="N9" s="371"/>
    </row>
    <row r="10" spans="1:14" s="53" customFormat="1">
      <c r="A10" s="90" t="s">
        <v>81</v>
      </c>
      <c r="B10" s="212">
        <f>'McD-BS'!B14</f>
        <v>24720.6</v>
      </c>
      <c r="C10" s="212">
        <f>'McD-BS'!C14</f>
        <v>23773.599999999999</v>
      </c>
      <c r="D10" s="212">
        <f>'McD-BS'!D14</f>
        <v>24907.599999999999</v>
      </c>
      <c r="E10" s="212">
        <f>'McD-BS'!E14</f>
        <v>25295</v>
      </c>
      <c r="F10" s="212">
        <f>'McD-BS'!F14</f>
        <v>28241</v>
      </c>
      <c r="G10" s="212">
        <f>'McD-BS'!G14</f>
        <v>28245</v>
      </c>
      <c r="H10" s="213">
        <f>H8-H9</f>
        <v>29009.046962106113</v>
      </c>
      <c r="I10" s="213">
        <f t="shared" ref="I10:M10" si="6">I8-I9</f>
        <v>30009.011110138556</v>
      </c>
      <c r="J10" s="213">
        <f t="shared" si="6"/>
        <v>31120.946809155303</v>
      </c>
      <c r="K10" s="213">
        <f t="shared" si="6"/>
        <v>32347.924845447033</v>
      </c>
      <c r="L10" s="213">
        <f t="shared" si="6"/>
        <v>33693.456233970341</v>
      </c>
      <c r="M10" s="213">
        <f t="shared" si="6"/>
        <v>35161.500667324472</v>
      </c>
    </row>
    <row r="11" spans="1:14" ht="14.4" customHeight="1">
      <c r="A11" s="67"/>
      <c r="B11" s="458"/>
      <c r="C11" s="676"/>
      <c r="D11" s="677"/>
      <c r="E11" s="240"/>
      <c r="F11" s="240"/>
      <c r="G11" s="65"/>
      <c r="H11" s="676"/>
      <c r="I11" s="676"/>
      <c r="J11" s="676"/>
      <c r="K11" s="676"/>
      <c r="L11" s="64"/>
    </row>
    <row r="12" spans="1:14" ht="14.4" customHeight="1">
      <c r="A12" s="496" t="s">
        <v>212</v>
      </c>
      <c r="B12" s="192"/>
      <c r="C12" s="192"/>
      <c r="D12" s="192"/>
      <c r="E12" s="192"/>
      <c r="F12" s="192"/>
      <c r="G12" s="65"/>
      <c r="H12" s="64"/>
      <c r="I12" s="64"/>
      <c r="J12" s="238"/>
      <c r="K12" s="64"/>
      <c r="L12" s="64"/>
    </row>
    <row r="13" spans="1:14">
      <c r="A13" s="57" t="s">
        <v>211</v>
      </c>
      <c r="B13" s="68">
        <f>'McD IS'!B8/'Fixed Assets Schedule'!B8</f>
        <v>0.87366540009781413</v>
      </c>
      <c r="C13" s="68">
        <f>'McD IS'!C8/'Fixed Assets Schedule'!C8</f>
        <v>0.90564106570825842</v>
      </c>
      <c r="D13" s="68">
        <f>'McD IS'!D8/'Fixed Assets Schedule'!D8</f>
        <v>0.95160188575715832</v>
      </c>
      <c r="E13" s="68">
        <f>'McD IS'!E8/'Fixed Assets Schedule'!E8</f>
        <v>0.95147199177740249</v>
      </c>
      <c r="F13" s="68">
        <f>'McD IS'!F8/'Fixed Assets Schedule'!F8</f>
        <v>0.88735230048187996</v>
      </c>
      <c r="G13" s="68">
        <f>'McD IS'!G8/'Fixed Assets Schedule'!G8</f>
        <v>0.22638796785070145</v>
      </c>
      <c r="H13" s="219">
        <f>AVERAGE(B13:F13)</f>
        <v>0.91394652876450277</v>
      </c>
      <c r="I13" s="68"/>
      <c r="J13" s="237"/>
      <c r="K13" s="68"/>
      <c r="L13" s="64"/>
    </row>
    <row r="14" spans="1:14">
      <c r="A14" s="57" t="s">
        <v>428</v>
      </c>
      <c r="B14" s="64"/>
      <c r="C14" s="123">
        <f>C7/'McD IS'!C8</f>
        <v>3.7847351030514328E-2</v>
      </c>
      <c r="D14" s="123">
        <f>D7/'McD IS'!D8</f>
        <v>0.11833119555027324</v>
      </c>
      <c r="E14" s="123">
        <f>E7/'McD IS'!E8</f>
        <v>9.0061728395061783E-2</v>
      </c>
      <c r="F14" s="123">
        <f>F7/'McD IS'!F8</f>
        <v>0.18608889715454716</v>
      </c>
      <c r="G14" s="123">
        <f>G7/'McD IS'!G8</f>
        <v>8.3760255092907993E-2</v>
      </c>
      <c r="H14" s="123">
        <f>AVERAGE(C14:F14)</f>
        <v>0.10808229303259911</v>
      </c>
      <c r="I14" s="64"/>
      <c r="J14" s="64"/>
      <c r="K14" s="64"/>
      <c r="L14" s="64"/>
    </row>
    <row r="15" spans="1:14">
      <c r="A15" s="57" t="s">
        <v>295</v>
      </c>
      <c r="B15" s="70">
        <f>B9/B8</f>
        <v>6.9989842368609154E-2</v>
      </c>
      <c r="C15" s="70">
        <f t="shared" ref="C15:G15" si="7">C9/C8</f>
        <v>7.1271193061957963E-2</v>
      </c>
      <c r="D15" s="70">
        <f t="shared" si="7"/>
        <v>7.0275435512106993E-2</v>
      </c>
      <c r="E15" s="70">
        <f t="shared" si="7"/>
        <v>7.147052345642757E-2</v>
      </c>
      <c r="F15" s="70">
        <f t="shared" si="7"/>
        <v>6.789227011683939E-2</v>
      </c>
      <c r="G15" s="70">
        <f t="shared" si="7"/>
        <v>1.882336167821658E-2</v>
      </c>
      <c r="H15" s="222">
        <f>AVERAGE(B15:F15)</f>
        <v>7.017985290318822E-2</v>
      </c>
      <c r="I15" s="70"/>
      <c r="J15" s="239"/>
      <c r="K15" s="70"/>
      <c r="L15" s="70"/>
      <c r="M15" s="70"/>
    </row>
    <row r="16" spans="1:14">
      <c r="A16" s="57"/>
      <c r="B16" s="70"/>
      <c r="C16" s="70"/>
      <c r="D16" s="70"/>
      <c r="E16" s="70"/>
      <c r="F16" s="70"/>
      <c r="G16" s="72"/>
      <c r="H16" s="71"/>
      <c r="I16" s="70"/>
      <c r="J16" s="239"/>
      <c r="K16" s="70"/>
      <c r="L16" s="70"/>
      <c r="M16" s="70"/>
    </row>
    <row r="18" spans="1:13">
      <c r="A18" s="142" t="s">
        <v>164</v>
      </c>
      <c r="B18" s="73"/>
      <c r="C18" s="73"/>
      <c r="D18" s="73"/>
      <c r="E18" s="73"/>
      <c r="F18" s="73"/>
      <c r="G18" s="73"/>
      <c r="H18" s="75"/>
      <c r="I18" s="75"/>
      <c r="J18" s="75"/>
      <c r="K18" s="75"/>
      <c r="L18" s="75"/>
      <c r="M18" s="75"/>
    </row>
    <row r="19" spans="1:13" ht="17.25" customHeight="1">
      <c r="A19" s="142" t="s">
        <v>165</v>
      </c>
      <c r="B19" s="73"/>
      <c r="C19" s="73"/>
      <c r="D19" s="73"/>
      <c r="E19" s="73"/>
      <c r="F19" s="73"/>
      <c r="G19" s="73"/>
      <c r="H19" s="75"/>
      <c r="I19" s="75"/>
      <c r="J19" s="75"/>
      <c r="K19" s="75"/>
      <c r="L19" s="75"/>
      <c r="M19" s="75"/>
    </row>
    <row r="20" spans="1:13" s="152" customFormat="1">
      <c r="A20" s="152" t="s">
        <v>163</v>
      </c>
      <c r="B20" s="195"/>
      <c r="C20" s="195"/>
      <c r="D20" s="195"/>
      <c r="E20" s="195"/>
      <c r="F20" s="195"/>
      <c r="G20" s="195"/>
      <c r="H20" s="184"/>
      <c r="I20" s="184"/>
      <c r="J20" s="184"/>
      <c r="K20" s="184"/>
      <c r="L20" s="184"/>
      <c r="M20" s="184"/>
    </row>
    <row r="21" spans="1:13">
      <c r="A21" s="142" t="s">
        <v>166</v>
      </c>
      <c r="B21" s="123"/>
      <c r="C21" s="123"/>
      <c r="D21" s="123"/>
      <c r="E21" s="123"/>
      <c r="F21" s="123"/>
      <c r="G21" s="123"/>
      <c r="H21" s="138"/>
    </row>
    <row r="22" spans="1:13">
      <c r="A22" s="142" t="s">
        <v>167</v>
      </c>
      <c r="B22" s="127"/>
      <c r="C22" s="127"/>
      <c r="D22" s="127"/>
      <c r="E22" s="127"/>
      <c r="F22" s="127"/>
      <c r="G22" s="127"/>
      <c r="H22" s="138"/>
    </row>
    <row r="24" spans="1:13">
      <c r="A24" s="488" t="s">
        <v>427</v>
      </c>
      <c r="B24" s="75"/>
      <c r="C24" s="75"/>
      <c r="D24" s="75"/>
    </row>
  </sheetData>
  <mergeCells count="2">
    <mergeCell ref="C11:D11"/>
    <mergeCell ref="H11:K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B175"/>
  <sheetViews>
    <sheetView showGridLines="0" workbookViewId="0">
      <selection activeCell="D5" sqref="D5"/>
    </sheetView>
  </sheetViews>
  <sheetFormatPr defaultColWidth="9" defaultRowHeight="14.4"/>
  <cols>
    <col min="1" max="1" width="3.5546875" customWidth="1"/>
    <col min="2" max="2" width="11.5546875" customWidth="1"/>
    <col min="3" max="3" width="27.33203125" bestFit="1" customWidth="1"/>
    <col min="4" max="4" width="9.6640625" bestFit="1" customWidth="1"/>
    <col min="5" max="5" width="13.6640625" customWidth="1"/>
    <col min="6" max="6" width="15.5546875" customWidth="1"/>
    <col min="7" max="7" width="8.44140625" bestFit="1" customWidth="1"/>
    <col min="8" max="8" width="9.6640625" bestFit="1" customWidth="1"/>
    <col min="10" max="10" width="12" customWidth="1"/>
    <col min="12" max="12" width="15.88671875" customWidth="1"/>
    <col min="14" max="14" width="13.6640625" customWidth="1"/>
    <col min="15" max="25" width="13.5546875" customWidth="1"/>
    <col min="26" max="26" width="10.6640625" customWidth="1"/>
    <col min="28" max="28" width="10.6640625" bestFit="1" customWidth="1"/>
  </cols>
  <sheetData>
    <row r="2" spans="2:28" ht="31.2">
      <c r="C2" s="45" t="s">
        <v>82</v>
      </c>
      <c r="G2" s="302"/>
    </row>
    <row r="3" spans="2:28" ht="15" thickBot="1"/>
    <row r="4" spans="2:28" ht="16.5" customHeight="1" thickBot="1">
      <c r="C4" s="309" t="s">
        <v>83</v>
      </c>
      <c r="D4" s="305" t="s">
        <v>84</v>
      </c>
      <c r="E4" s="303" t="s">
        <v>85</v>
      </c>
      <c r="F4" s="304" t="s">
        <v>86</v>
      </c>
      <c r="H4" s="678"/>
      <c r="I4" s="678"/>
      <c r="J4" s="678"/>
      <c r="K4" s="678"/>
      <c r="L4" s="678"/>
      <c r="M4" s="678"/>
      <c r="N4" s="678"/>
      <c r="O4" s="678"/>
      <c r="P4" s="678"/>
    </row>
    <row r="5" spans="2:28">
      <c r="C5" s="46" t="s">
        <v>430</v>
      </c>
      <c r="D5" s="47">
        <f>SLOPE($D$16:$D$171,$AB$16:$AB$171)</f>
        <v>0.30143553084325514</v>
      </c>
      <c r="E5" s="307"/>
      <c r="F5" s="498">
        <f>RSQ($D$16:$D$171,$AB$16:$AB$171)</f>
        <v>6.2572524023668211E-2</v>
      </c>
      <c r="H5" s="678"/>
      <c r="I5" s="678"/>
      <c r="J5" s="678"/>
      <c r="K5" s="678"/>
      <c r="L5" s="678"/>
      <c r="M5" s="678"/>
      <c r="N5" s="678"/>
      <c r="O5" s="678"/>
      <c r="P5" s="678"/>
    </row>
    <row r="6" spans="2:28">
      <c r="C6" s="46" t="s">
        <v>429</v>
      </c>
      <c r="D6" s="47">
        <f>SLOPE($H$17:$H$172,$AB$17:$AB$172)</f>
        <v>0.34717763588685635</v>
      </c>
      <c r="E6" s="306"/>
      <c r="F6" s="498">
        <f>RSQ($H$16:$H$171,$AB$16:$AB$171)</f>
        <v>6.1008430471874896E-2</v>
      </c>
      <c r="H6" s="678"/>
      <c r="I6" s="678"/>
      <c r="J6" s="678"/>
      <c r="K6" s="678"/>
      <c r="L6" s="678"/>
      <c r="M6" s="678"/>
      <c r="N6" s="678"/>
      <c r="O6" s="678"/>
      <c r="P6" s="678"/>
    </row>
    <row r="7" spans="2:28">
      <c r="C7" s="46" t="s">
        <v>431</v>
      </c>
      <c r="D7" s="47">
        <f>SLOPE($L$16:$L$171,$AB$16:$AB$171)</f>
        <v>0.38570635856096464</v>
      </c>
      <c r="E7" s="48"/>
      <c r="F7" s="498">
        <f>RSQ($L$16:$L$171,$AB$16:$AB$171)</f>
        <v>7.3377092361005494E-2</v>
      </c>
      <c r="H7" s="678"/>
      <c r="I7" s="678"/>
      <c r="J7" s="678"/>
      <c r="K7" s="678"/>
      <c r="L7" s="678"/>
      <c r="M7" s="678"/>
      <c r="N7" s="678"/>
      <c r="O7" s="678"/>
      <c r="P7" s="678"/>
    </row>
    <row r="8" spans="2:28">
      <c r="C8" s="49" t="s">
        <v>432</v>
      </c>
      <c r="D8" s="47">
        <f>SLOPE($P$16:$P$171,$AB$16:$AB$171)</f>
        <v>0.74374466386154225</v>
      </c>
      <c r="E8" s="48"/>
      <c r="F8" s="498">
        <f>RSQ($P$16:$P$171,$AB$16:$AB$171)</f>
        <v>0.14458303451839341</v>
      </c>
      <c r="H8" s="678"/>
      <c r="I8" s="678"/>
      <c r="J8" s="678"/>
      <c r="K8" s="678"/>
      <c r="L8" s="678"/>
      <c r="M8" s="678"/>
      <c r="N8" s="678"/>
      <c r="O8" s="678"/>
      <c r="P8" s="678"/>
    </row>
    <row r="9" spans="2:28">
      <c r="C9" s="508" t="s">
        <v>433</v>
      </c>
      <c r="D9" s="47">
        <f>SLOPE($T$16:T171,$AB$16:AB171)</f>
        <v>0.41934942110841522</v>
      </c>
      <c r="E9" s="48"/>
      <c r="F9" s="498">
        <f>RSQ($T$16:V171,$AB$16:AD171)</f>
        <v>4.8605689868136376E-2</v>
      </c>
      <c r="I9" s="302"/>
    </row>
    <row r="10" spans="2:28">
      <c r="C10" s="49" t="s">
        <v>434</v>
      </c>
      <c r="D10" s="47">
        <f>SLOPE($X$16:X171,$AB$16:AB171)</f>
        <v>0.93395763868881587</v>
      </c>
      <c r="E10" s="48"/>
      <c r="F10" s="498">
        <f>RSQ($X$16:Z171,$AB$16:AD171)</f>
        <v>0.16741130318481601</v>
      </c>
    </row>
    <row r="11" spans="2:28" ht="15" thickBot="1">
      <c r="C11" s="50"/>
      <c r="D11" s="51"/>
      <c r="E11" s="52"/>
      <c r="F11" s="308"/>
    </row>
    <row r="12" spans="2:28" ht="15" customHeight="1">
      <c r="C12" s="685" t="s">
        <v>296</v>
      </c>
      <c r="D12" s="685"/>
      <c r="E12" s="685"/>
      <c r="F12" s="685"/>
    </row>
    <row r="13" spans="2:28">
      <c r="C13" s="53"/>
    </row>
    <row r="14" spans="2:28" ht="18">
      <c r="B14" s="682" t="s">
        <v>430</v>
      </c>
      <c r="C14" s="683"/>
      <c r="D14" s="684"/>
      <c r="F14" s="679" t="s">
        <v>429</v>
      </c>
      <c r="G14" s="680"/>
      <c r="H14" s="681"/>
      <c r="J14" s="679" t="s">
        <v>431</v>
      </c>
      <c r="K14" s="680"/>
      <c r="L14" s="681"/>
      <c r="N14" s="679" t="s">
        <v>432</v>
      </c>
      <c r="O14" s="680"/>
      <c r="P14" s="681"/>
      <c r="Q14" s="55"/>
      <c r="R14" s="679" t="s">
        <v>433</v>
      </c>
      <c r="S14" s="680"/>
      <c r="T14" s="681"/>
      <c r="U14" s="55"/>
      <c r="V14" s="679" t="s">
        <v>434</v>
      </c>
      <c r="W14" s="680"/>
      <c r="X14" s="681"/>
      <c r="Y14" s="55"/>
      <c r="Z14" s="679" t="s">
        <v>87</v>
      </c>
      <c r="AA14" s="680"/>
      <c r="AB14" s="681"/>
    </row>
    <row r="15" spans="2:28">
      <c r="B15" s="441" t="s">
        <v>88</v>
      </c>
      <c r="C15" s="441" t="s">
        <v>89</v>
      </c>
      <c r="D15" s="441" t="s">
        <v>90</v>
      </c>
      <c r="F15" s="441" t="s">
        <v>88</v>
      </c>
      <c r="G15" s="441" t="s">
        <v>89</v>
      </c>
      <c r="H15" s="593" t="s">
        <v>90</v>
      </c>
      <c r="J15" s="441" t="s">
        <v>88</v>
      </c>
      <c r="K15" s="441" t="s">
        <v>89</v>
      </c>
      <c r="L15" s="441" t="s">
        <v>90</v>
      </c>
      <c r="N15" s="441" t="s">
        <v>88</v>
      </c>
      <c r="O15" s="441" t="s">
        <v>89</v>
      </c>
      <c r="P15" s="441" t="s">
        <v>90</v>
      </c>
      <c r="R15" s="441" t="s">
        <v>88</v>
      </c>
      <c r="S15" s="441" t="s">
        <v>89</v>
      </c>
      <c r="T15" s="441" t="s">
        <v>90</v>
      </c>
      <c r="V15" s="441" t="s">
        <v>88</v>
      </c>
      <c r="W15" s="441" t="s">
        <v>89</v>
      </c>
      <c r="X15" s="441" t="s">
        <v>90</v>
      </c>
      <c r="Z15" s="441" t="s">
        <v>88</v>
      </c>
      <c r="AA15" s="441" t="s">
        <v>89</v>
      </c>
      <c r="AB15" s="441" t="s">
        <v>90</v>
      </c>
    </row>
    <row r="16" spans="2:28">
      <c r="B16" s="590" t="s">
        <v>436</v>
      </c>
      <c r="C16" s="589">
        <v>267.11</v>
      </c>
      <c r="D16" s="591">
        <f>C16/C17-1</f>
        <v>-9.8235468564649153E-3</v>
      </c>
      <c r="F16" s="595">
        <v>46201</v>
      </c>
      <c r="G16" s="596">
        <v>158.24</v>
      </c>
      <c r="H16" s="591">
        <f>G16/G17-1</f>
        <v>1.1700019180359345E-2</v>
      </c>
      <c r="J16" s="594" t="s">
        <v>436</v>
      </c>
      <c r="K16" s="441">
        <v>72.77</v>
      </c>
      <c r="L16" s="591">
        <f>K16/K17-1</f>
        <v>-2.1119182136131398E-2</v>
      </c>
      <c r="N16" s="590" t="s">
        <v>436</v>
      </c>
      <c r="O16" s="589">
        <v>289.39</v>
      </c>
      <c r="P16" s="591">
        <f>O16/O17-1</f>
        <v>-2.9478838285599385E-2</v>
      </c>
      <c r="Q16" s="351"/>
      <c r="R16" s="589" t="s">
        <v>436</v>
      </c>
      <c r="S16" s="589">
        <v>8.1199999999999992</v>
      </c>
      <c r="T16" s="591">
        <f>S16/S17-1</f>
        <v>4.102564102564088E-2</v>
      </c>
      <c r="U16" s="351"/>
      <c r="V16" s="589" t="s">
        <v>436</v>
      </c>
      <c r="W16" s="589">
        <v>32.85</v>
      </c>
      <c r="X16" s="591">
        <f>W16/W17-1</f>
        <v>-1.4697060587882449E-2</v>
      </c>
      <c r="Y16" s="351"/>
      <c r="Z16" s="589" t="s">
        <v>436</v>
      </c>
      <c r="AA16" s="497">
        <v>7440.43</v>
      </c>
      <c r="AB16" s="591">
        <f>AA16/AA17-1</f>
        <v>1.1750036034712918E-2</v>
      </c>
    </row>
    <row r="17" spans="2:28">
      <c r="B17" s="590" t="s">
        <v>437</v>
      </c>
      <c r="C17" s="589">
        <v>269.76</v>
      </c>
      <c r="D17" s="591">
        <f t="shared" ref="D17:D80" si="0">C17/C18-1</f>
        <v>-3.1764832561645417E-2</v>
      </c>
      <c r="F17" s="590">
        <v>46194</v>
      </c>
      <c r="G17" s="589">
        <v>156.41</v>
      </c>
      <c r="H17" s="591">
        <f>G17/G18-1</f>
        <v>2.908086058293291E-2</v>
      </c>
      <c r="J17" s="594" t="s">
        <v>437</v>
      </c>
      <c r="K17" s="441">
        <v>74.34</v>
      </c>
      <c r="L17" s="591">
        <f t="shared" ref="L17:L80" si="1">K17/K18-1</f>
        <v>1.2254901960784492E-2</v>
      </c>
      <c r="N17" s="590" t="s">
        <v>437</v>
      </c>
      <c r="O17" s="589">
        <v>298.18</v>
      </c>
      <c r="P17" s="591">
        <f t="shared" ref="P17:P80" si="2">O17/O18-1</f>
        <v>-4.5732390309469739E-2</v>
      </c>
      <c r="Q17" s="351"/>
      <c r="R17" s="589" t="s">
        <v>437</v>
      </c>
      <c r="S17" s="589">
        <v>7.8</v>
      </c>
      <c r="T17" s="591">
        <f t="shared" ref="T17:T80" si="3">S17/S18-1</f>
        <v>0.14705882352941169</v>
      </c>
      <c r="U17" s="351"/>
      <c r="V17" s="589" t="s">
        <v>437</v>
      </c>
      <c r="W17" s="589">
        <v>33.340000000000003</v>
      </c>
      <c r="X17" s="591">
        <f t="shared" ref="X17:X80" si="4">W17/W18-1</f>
        <v>2.6161895967990123E-2</v>
      </c>
      <c r="Y17" s="351"/>
      <c r="Z17" s="590">
        <v>46194</v>
      </c>
      <c r="AA17" s="592">
        <v>7354.02</v>
      </c>
      <c r="AB17" s="591">
        <f t="shared" ref="AB17:AB80" si="5">AA17/AA18-1</f>
        <v>-1.953982225374562E-2</v>
      </c>
    </row>
    <row r="18" spans="2:28">
      <c r="B18" s="590" t="s">
        <v>438</v>
      </c>
      <c r="C18" s="589">
        <v>278.61</v>
      </c>
      <c r="D18" s="591">
        <f t="shared" si="0"/>
        <v>-2.1768898563954919E-2</v>
      </c>
      <c r="F18" s="590">
        <v>46187</v>
      </c>
      <c r="G18" s="589">
        <v>151.99</v>
      </c>
      <c r="H18" s="591">
        <f t="shared" ref="H18:H81" si="6">G18/G19-1</f>
        <v>-1.5034670468537348E-2</v>
      </c>
      <c r="J18" s="594" t="s">
        <v>438</v>
      </c>
      <c r="K18" s="441">
        <v>73.44</v>
      </c>
      <c r="L18" s="591">
        <f t="shared" si="1"/>
        <v>-1.8837675350701355E-2</v>
      </c>
      <c r="N18" s="590" t="s">
        <v>438</v>
      </c>
      <c r="O18" s="589">
        <v>312.47000000000003</v>
      </c>
      <c r="P18" s="591">
        <f t="shared" si="2"/>
        <v>-3.5229097196492476E-2</v>
      </c>
      <c r="Q18" s="351"/>
      <c r="R18" s="589" t="s">
        <v>438</v>
      </c>
      <c r="S18" s="589">
        <v>6.8</v>
      </c>
      <c r="T18" s="591">
        <f t="shared" si="3"/>
        <v>1.4727540500736325E-3</v>
      </c>
      <c r="U18" s="351"/>
      <c r="V18" s="589" t="s">
        <v>438</v>
      </c>
      <c r="W18" s="589">
        <v>32.49</v>
      </c>
      <c r="X18" s="591">
        <f t="shared" si="4"/>
        <v>8.0670183059263767E-3</v>
      </c>
      <c r="Y18" s="351"/>
      <c r="Z18" s="590">
        <v>46187</v>
      </c>
      <c r="AA18" s="592">
        <v>7500.58</v>
      </c>
      <c r="AB18" s="591">
        <f t="shared" si="5"/>
        <v>9.3009987270333827E-3</v>
      </c>
    </row>
    <row r="19" spans="2:28">
      <c r="B19" s="590">
        <v>46209</v>
      </c>
      <c r="C19" s="589">
        <v>284.81</v>
      </c>
      <c r="D19" s="591">
        <f t="shared" si="0"/>
        <v>1.7760148656375208E-2</v>
      </c>
      <c r="F19" s="590">
        <v>46180</v>
      </c>
      <c r="G19" s="589">
        <v>154.31</v>
      </c>
      <c r="H19" s="591">
        <f t="shared" si="6"/>
        <v>2.2801087028567535E-2</v>
      </c>
      <c r="J19" s="594">
        <v>46209</v>
      </c>
      <c r="K19" s="441">
        <v>74.849999999999994</v>
      </c>
      <c r="L19" s="591">
        <f t="shared" si="1"/>
        <v>3.014037985136242E-2</v>
      </c>
      <c r="N19" s="590">
        <v>46209</v>
      </c>
      <c r="O19" s="589">
        <v>323.88</v>
      </c>
      <c r="P19" s="591">
        <f t="shared" si="2"/>
        <v>3.1497818401859945E-2</v>
      </c>
      <c r="Q19" s="351"/>
      <c r="R19" s="590">
        <v>46209</v>
      </c>
      <c r="S19" s="589">
        <v>6.79</v>
      </c>
      <c r="T19" s="591">
        <f t="shared" si="3"/>
        <v>1.1922503725782407E-2</v>
      </c>
      <c r="U19" s="351"/>
      <c r="V19" s="590">
        <v>46209</v>
      </c>
      <c r="W19" s="589">
        <v>32.229999999999997</v>
      </c>
      <c r="X19" s="591">
        <f t="shared" si="4"/>
        <v>9.8500340831629174E-2</v>
      </c>
      <c r="Y19" s="351"/>
      <c r="Z19" s="590">
        <v>46180</v>
      </c>
      <c r="AA19" s="592">
        <v>7431.46</v>
      </c>
      <c r="AB19" s="591">
        <f t="shared" si="5"/>
        <v>6.4628494502785294E-3</v>
      </c>
    </row>
    <row r="20" spans="2:28">
      <c r="B20" s="590" t="s">
        <v>439</v>
      </c>
      <c r="C20" s="589">
        <v>279.83999999999997</v>
      </c>
      <c r="D20" s="591">
        <f t="shared" si="0"/>
        <v>2.2922636103150928E-3</v>
      </c>
      <c r="F20" s="590">
        <v>46173</v>
      </c>
      <c r="G20" s="589">
        <v>150.87</v>
      </c>
      <c r="H20" s="591">
        <f t="shared" si="6"/>
        <v>1.9736397431564745E-2</v>
      </c>
      <c r="J20" s="594" t="s">
        <v>439</v>
      </c>
      <c r="K20" s="441">
        <v>72.66</v>
      </c>
      <c r="L20" s="591">
        <f t="shared" si="1"/>
        <v>-2.7309236947791193E-2</v>
      </c>
      <c r="N20" s="590" t="s">
        <v>439</v>
      </c>
      <c r="O20" s="589">
        <v>313.99</v>
      </c>
      <c r="P20" s="591">
        <f t="shared" si="2"/>
        <v>1.0979457788653502E-2</v>
      </c>
      <c r="Q20" s="351"/>
      <c r="R20" s="589" t="s">
        <v>439</v>
      </c>
      <c r="S20" s="589">
        <v>6.71</v>
      </c>
      <c r="T20" s="591">
        <f t="shared" si="3"/>
        <v>-0.12857142857142856</v>
      </c>
      <c r="U20" s="351"/>
      <c r="V20" s="589" t="s">
        <v>439</v>
      </c>
      <c r="W20" s="589">
        <v>29.34</v>
      </c>
      <c r="X20" s="591">
        <f t="shared" si="4"/>
        <v>-7.909604519774005E-2</v>
      </c>
      <c r="Y20" s="351"/>
      <c r="Z20" s="590">
        <v>46173</v>
      </c>
      <c r="AA20" s="592">
        <v>7383.74</v>
      </c>
      <c r="AB20" s="591">
        <f t="shared" si="5"/>
        <v>-2.5899531138276033E-2</v>
      </c>
    </row>
    <row r="21" spans="2:28">
      <c r="B21" s="590" t="s">
        <v>440</v>
      </c>
      <c r="C21" s="589">
        <v>279.2</v>
      </c>
      <c r="D21" s="591">
        <f t="shared" si="0"/>
        <v>-1.0876111524426912E-2</v>
      </c>
      <c r="F21" s="590">
        <v>46166</v>
      </c>
      <c r="G21" s="589">
        <v>147.94999999999999</v>
      </c>
      <c r="H21" s="591">
        <f t="shared" si="6"/>
        <v>-4.6406703190460918E-2</v>
      </c>
      <c r="J21" s="594" t="s">
        <v>440</v>
      </c>
      <c r="K21" s="441">
        <v>74.7</v>
      </c>
      <c r="L21" s="591">
        <f t="shared" si="1"/>
        <v>-9.0209604669673205E-3</v>
      </c>
      <c r="N21" s="590" t="s">
        <v>440</v>
      </c>
      <c r="O21" s="589">
        <v>310.58</v>
      </c>
      <c r="P21" s="591">
        <f t="shared" si="2"/>
        <v>-1.8766586629596849E-2</v>
      </c>
      <c r="Q21" s="351"/>
      <c r="R21" s="589" t="s">
        <v>440</v>
      </c>
      <c r="S21" s="589">
        <v>7.7</v>
      </c>
      <c r="T21" s="591">
        <f t="shared" si="3"/>
        <v>-1.4084507042253502E-2</v>
      </c>
      <c r="U21" s="351"/>
      <c r="V21" s="589" t="s">
        <v>440</v>
      </c>
      <c r="W21" s="589">
        <v>31.86</v>
      </c>
      <c r="X21" s="591">
        <f t="shared" si="4"/>
        <v>-3.1316509577379192E-2</v>
      </c>
      <c r="Y21" s="351"/>
      <c r="Z21" s="590">
        <v>46166</v>
      </c>
      <c r="AA21" s="592">
        <v>7580.06</v>
      </c>
      <c r="AB21" s="591">
        <f t="shared" si="5"/>
        <v>1.426245104349122E-2</v>
      </c>
    </row>
    <row r="22" spans="2:28">
      <c r="B22" s="590" t="s">
        <v>441</v>
      </c>
      <c r="C22" s="589">
        <v>282.27</v>
      </c>
      <c r="D22" s="591">
        <f t="shared" si="0"/>
        <v>2.1274286334527215E-2</v>
      </c>
      <c r="F22" s="590">
        <v>46159</v>
      </c>
      <c r="G22" s="589">
        <v>155.15</v>
      </c>
      <c r="H22" s="591">
        <f t="shared" si="6"/>
        <v>3.4540241381609604E-2</v>
      </c>
      <c r="J22" s="594" t="s">
        <v>441</v>
      </c>
      <c r="K22" s="441">
        <v>75.38</v>
      </c>
      <c r="L22" s="591">
        <f t="shared" si="1"/>
        <v>-6.0654008438819629E-3</v>
      </c>
      <c r="N22" s="590" t="s">
        <v>441</v>
      </c>
      <c r="O22" s="589">
        <v>316.52</v>
      </c>
      <c r="P22" s="591">
        <f t="shared" si="2"/>
        <v>4.7074001786364006E-2</v>
      </c>
      <c r="Q22" s="351"/>
      <c r="R22" s="589" t="s">
        <v>441</v>
      </c>
      <c r="S22" s="589">
        <v>7.81</v>
      </c>
      <c r="T22" s="591">
        <f t="shared" si="3"/>
        <v>-2.6184538653366562E-2</v>
      </c>
      <c r="U22" s="351"/>
      <c r="V22" s="589" t="s">
        <v>441</v>
      </c>
      <c r="W22" s="589">
        <v>32.89</v>
      </c>
      <c r="X22" s="591">
        <f t="shared" si="4"/>
        <v>7.3506891271057917E-3</v>
      </c>
      <c r="Y22" s="351"/>
      <c r="Z22" s="590">
        <v>46159</v>
      </c>
      <c r="AA22" s="592">
        <v>7473.47</v>
      </c>
      <c r="AB22" s="591">
        <f t="shared" si="5"/>
        <v>8.7696564756698514E-3</v>
      </c>
    </row>
    <row r="23" spans="2:28">
      <c r="B23" s="590">
        <v>46300</v>
      </c>
      <c r="C23" s="589">
        <v>276.39</v>
      </c>
      <c r="D23" s="591">
        <f t="shared" si="0"/>
        <v>2.3209428830461842E-3</v>
      </c>
      <c r="F23" s="590">
        <v>46152</v>
      </c>
      <c r="G23" s="589">
        <v>149.97</v>
      </c>
      <c r="H23" s="591">
        <f t="shared" si="6"/>
        <v>-1.3030602171766992E-2</v>
      </c>
      <c r="J23" s="594">
        <v>46300</v>
      </c>
      <c r="K23" s="441">
        <v>75.84</v>
      </c>
      <c r="L23" s="591">
        <f t="shared" si="1"/>
        <v>-4.8550997365449655E-2</v>
      </c>
      <c r="N23" s="590">
        <v>46300</v>
      </c>
      <c r="O23" s="589">
        <v>302.29000000000002</v>
      </c>
      <c r="P23" s="591">
        <f t="shared" si="2"/>
        <v>-6.5506368245331958E-2</v>
      </c>
      <c r="Q23" s="351"/>
      <c r="R23" s="590">
        <v>46300</v>
      </c>
      <c r="S23" s="589">
        <v>8.02</v>
      </c>
      <c r="T23" s="591">
        <f t="shared" si="3"/>
        <v>9.8630136986301409E-2</v>
      </c>
      <c r="U23" s="351"/>
      <c r="V23" s="590">
        <v>46300</v>
      </c>
      <c r="W23" s="589">
        <v>32.65</v>
      </c>
      <c r="X23" s="591">
        <f t="shared" si="4"/>
        <v>4.9245921822098637E-3</v>
      </c>
      <c r="Y23" s="351"/>
      <c r="Z23" s="590">
        <v>46152</v>
      </c>
      <c r="AA23" s="592">
        <v>7408.5</v>
      </c>
      <c r="AB23" s="591">
        <f t="shared" si="5"/>
        <v>1.2934302662681585E-3</v>
      </c>
    </row>
    <row r="24" spans="2:28">
      <c r="B24" s="590">
        <v>46086</v>
      </c>
      <c r="C24" s="589">
        <v>275.75</v>
      </c>
      <c r="D24" s="591">
        <f t="shared" si="0"/>
        <v>-3.7991906223834748E-2</v>
      </c>
      <c r="F24" s="590">
        <v>46145</v>
      </c>
      <c r="G24" s="589">
        <v>151.94999999999999</v>
      </c>
      <c r="H24" s="591">
        <f t="shared" si="6"/>
        <v>-4.0477393281131757E-2</v>
      </c>
      <c r="J24" s="594">
        <v>46086</v>
      </c>
      <c r="K24" s="441">
        <v>79.709999999999994</v>
      </c>
      <c r="L24" s="591">
        <f t="shared" si="1"/>
        <v>-3.9985005622892311E-3</v>
      </c>
      <c r="N24" s="590">
        <v>46086</v>
      </c>
      <c r="O24" s="589">
        <v>323.48</v>
      </c>
      <c r="P24" s="591">
        <f t="shared" si="2"/>
        <v>-4.2306895224560992E-2</v>
      </c>
      <c r="Q24" s="351"/>
      <c r="R24" s="590">
        <v>46086</v>
      </c>
      <c r="S24" s="589">
        <v>7.3</v>
      </c>
      <c r="T24" s="591">
        <f t="shared" si="3"/>
        <v>8.9552238805970186E-2</v>
      </c>
      <c r="U24" s="351"/>
      <c r="V24" s="590">
        <v>46086</v>
      </c>
      <c r="W24" s="589">
        <v>32.49</v>
      </c>
      <c r="X24" s="591">
        <f t="shared" si="4"/>
        <v>-1.4857489387507417E-2</v>
      </c>
      <c r="Y24" s="351"/>
      <c r="Z24" s="590">
        <v>46145</v>
      </c>
      <c r="AA24" s="592">
        <v>7398.93</v>
      </c>
      <c r="AB24" s="591">
        <f t="shared" si="5"/>
        <v>2.3348160196511314E-2</v>
      </c>
    </row>
    <row r="25" spans="2:28">
      <c r="B25" s="590" t="s">
        <v>442</v>
      </c>
      <c r="C25" s="589">
        <v>286.64</v>
      </c>
      <c r="D25" s="591">
        <f t="shared" si="0"/>
        <v>-4.2490646712987745E-2</v>
      </c>
      <c r="F25" s="590">
        <v>46138</v>
      </c>
      <c r="G25" s="589">
        <v>158.36000000000001</v>
      </c>
      <c r="H25" s="591">
        <f t="shared" si="6"/>
        <v>-1.1979036685799804E-2</v>
      </c>
      <c r="J25" s="594" t="s">
        <v>442</v>
      </c>
      <c r="K25" s="441">
        <v>80.03</v>
      </c>
      <c r="L25" s="591">
        <f t="shared" si="1"/>
        <v>-1.0754017305315222E-2</v>
      </c>
      <c r="N25" s="590" t="s">
        <v>442</v>
      </c>
      <c r="O25" s="589">
        <v>337.77</v>
      </c>
      <c r="P25" s="591">
        <f t="shared" si="2"/>
        <v>-8.1722534866650376E-2</v>
      </c>
      <c r="Q25" s="351"/>
      <c r="R25" s="589" t="s">
        <v>442</v>
      </c>
      <c r="S25" s="589">
        <v>6.7</v>
      </c>
      <c r="T25" s="591">
        <f t="shared" si="3"/>
        <v>-6.162464985994387E-2</v>
      </c>
      <c r="U25" s="351"/>
      <c r="V25" s="589" t="s">
        <v>442</v>
      </c>
      <c r="W25" s="589">
        <v>32.979999999999997</v>
      </c>
      <c r="X25" s="591">
        <f t="shared" si="4"/>
        <v>-3.5954399298450901E-2</v>
      </c>
      <c r="Y25" s="351"/>
      <c r="Z25" s="590">
        <v>46138</v>
      </c>
      <c r="AA25" s="592">
        <v>7230.12</v>
      </c>
      <c r="AB25" s="591">
        <f t="shared" si="5"/>
        <v>9.0773585221657349E-3</v>
      </c>
    </row>
    <row r="26" spans="2:28">
      <c r="B26" s="590" t="s">
        <v>443</v>
      </c>
      <c r="C26" s="589">
        <v>299.36</v>
      </c>
      <c r="D26" s="591">
        <f t="shared" si="0"/>
        <v>-3.8540596094552959E-2</v>
      </c>
      <c r="F26" s="590">
        <v>46131</v>
      </c>
      <c r="G26" s="589">
        <v>160.28</v>
      </c>
      <c r="H26" s="591">
        <f t="shared" si="6"/>
        <v>-1.5418637508446409E-2</v>
      </c>
      <c r="J26" s="594" t="s">
        <v>443</v>
      </c>
      <c r="K26" s="441">
        <v>80.900000000000006</v>
      </c>
      <c r="L26" s="591">
        <f t="shared" si="1"/>
        <v>3.2941777323799881E-2</v>
      </c>
      <c r="N26" s="590" t="s">
        <v>443</v>
      </c>
      <c r="O26" s="589">
        <v>367.83</v>
      </c>
      <c r="P26" s="591">
        <f t="shared" si="2"/>
        <v>-1.1369134010643545E-2</v>
      </c>
      <c r="Q26" s="351"/>
      <c r="R26" s="589" t="s">
        <v>443</v>
      </c>
      <c r="S26" s="589">
        <v>7.14</v>
      </c>
      <c r="T26" s="591">
        <f t="shared" si="3"/>
        <v>2.7338129496402797E-2</v>
      </c>
      <c r="U26" s="351"/>
      <c r="V26" s="589" t="s">
        <v>443</v>
      </c>
      <c r="W26" s="589">
        <v>34.21</v>
      </c>
      <c r="X26" s="591">
        <f t="shared" si="4"/>
        <v>-4.5213508233323929E-2</v>
      </c>
      <c r="Y26" s="351"/>
      <c r="Z26" s="590">
        <v>46131</v>
      </c>
      <c r="AA26" s="592">
        <v>7165.08</v>
      </c>
      <c r="AB26" s="591">
        <f t="shared" si="5"/>
        <v>5.4756766010950475E-3</v>
      </c>
    </row>
    <row r="27" spans="2:28">
      <c r="B27" s="590">
        <v>46360</v>
      </c>
      <c r="C27" s="589">
        <v>311.36</v>
      </c>
      <c r="D27" s="591">
        <f t="shared" si="0"/>
        <v>1.8581523161476099E-2</v>
      </c>
      <c r="F27" s="590">
        <v>46124</v>
      </c>
      <c r="G27" s="589">
        <v>162.79</v>
      </c>
      <c r="H27" s="591">
        <f t="shared" si="6"/>
        <v>6.3674579624135585E-3</v>
      </c>
      <c r="J27" s="594">
        <v>46360</v>
      </c>
      <c r="K27" s="441">
        <v>78.319999999999993</v>
      </c>
      <c r="L27" s="591">
        <f t="shared" si="1"/>
        <v>2.5265087053279123E-2</v>
      </c>
      <c r="N27" s="590">
        <v>46360</v>
      </c>
      <c r="O27" s="589">
        <v>372.06</v>
      </c>
      <c r="P27" s="591">
        <f t="shared" si="2"/>
        <v>1.6696269982237943E-2</v>
      </c>
      <c r="Q27" s="351"/>
      <c r="R27" s="590">
        <v>46360</v>
      </c>
      <c r="S27" s="589">
        <v>6.95</v>
      </c>
      <c r="T27" s="591">
        <f t="shared" si="3"/>
        <v>8.7082728592162706E-3</v>
      </c>
      <c r="U27" s="351"/>
      <c r="V27" s="590">
        <v>46360</v>
      </c>
      <c r="W27" s="589">
        <v>35.83</v>
      </c>
      <c r="X27" s="591">
        <f t="shared" si="4"/>
        <v>5.1041361102962535E-2</v>
      </c>
      <c r="Y27" s="351"/>
      <c r="Z27" s="590">
        <v>46124</v>
      </c>
      <c r="AA27" s="592">
        <v>7126.06</v>
      </c>
      <c r="AB27" s="591">
        <f t="shared" si="5"/>
        <v>4.535352631478573E-2</v>
      </c>
    </row>
    <row r="28" spans="2:28">
      <c r="B28" s="590">
        <v>46146</v>
      </c>
      <c r="C28" s="589">
        <v>305.68</v>
      </c>
      <c r="D28" s="591">
        <f t="shared" si="0"/>
        <v>-4.7535325910007531E-3</v>
      </c>
      <c r="F28" s="590">
        <v>46117</v>
      </c>
      <c r="G28" s="589">
        <v>161.76</v>
      </c>
      <c r="H28" s="591">
        <f t="shared" si="6"/>
        <v>3.6325197001729759E-2</v>
      </c>
      <c r="J28" s="594">
        <v>46146</v>
      </c>
      <c r="K28" s="441">
        <v>76.39</v>
      </c>
      <c r="L28" s="591">
        <f t="shared" si="1"/>
        <v>-2.4810655523634928E-3</v>
      </c>
      <c r="N28" s="590">
        <v>46146</v>
      </c>
      <c r="O28" s="589">
        <v>365.95</v>
      </c>
      <c r="P28" s="591">
        <f t="shared" si="2"/>
        <v>-1.3133056469446069E-2</v>
      </c>
      <c r="Q28" s="351"/>
      <c r="R28" s="590">
        <v>46146</v>
      </c>
      <c r="S28" s="589">
        <v>6.89</v>
      </c>
      <c r="T28" s="591">
        <f t="shared" si="3"/>
        <v>1.4534883720929148E-3</v>
      </c>
      <c r="U28" s="351"/>
      <c r="V28" s="590">
        <v>46146</v>
      </c>
      <c r="W28" s="589">
        <v>34.090000000000003</v>
      </c>
      <c r="X28" s="591">
        <f t="shared" si="4"/>
        <v>2.8045838359469499E-2</v>
      </c>
      <c r="Y28" s="351"/>
      <c r="Z28" s="590">
        <v>46117</v>
      </c>
      <c r="AA28" s="592">
        <v>6816.89</v>
      </c>
      <c r="AB28" s="591">
        <f t="shared" si="5"/>
        <v>3.5578160296170891E-2</v>
      </c>
    </row>
    <row r="29" spans="2:28">
      <c r="B29" s="590" t="s">
        <v>444</v>
      </c>
      <c r="C29" s="589">
        <v>307.14</v>
      </c>
      <c r="D29" s="591">
        <f t="shared" si="0"/>
        <v>4.0536122915986184E-3</v>
      </c>
      <c r="F29" s="590">
        <v>46110</v>
      </c>
      <c r="G29" s="589">
        <v>156.09</v>
      </c>
      <c r="H29" s="591">
        <f t="shared" si="6"/>
        <v>1.3834762275915846E-2</v>
      </c>
      <c r="J29" s="594" t="s">
        <v>444</v>
      </c>
      <c r="K29" s="441">
        <v>76.58</v>
      </c>
      <c r="L29" s="591">
        <f t="shared" si="1"/>
        <v>7.2248669840380808E-2</v>
      </c>
      <c r="N29" s="590" t="s">
        <v>444</v>
      </c>
      <c r="O29" s="589">
        <v>370.82</v>
      </c>
      <c r="P29" s="591">
        <f t="shared" si="2"/>
        <v>6.5146205549491576E-2</v>
      </c>
      <c r="Q29" s="351"/>
      <c r="R29" s="589" t="s">
        <v>444</v>
      </c>
      <c r="S29" s="589">
        <v>6.88</v>
      </c>
      <c r="T29" s="591">
        <f t="shared" si="3"/>
        <v>1.1764705882352899E-2</v>
      </c>
      <c r="U29" s="351"/>
      <c r="V29" s="589" t="s">
        <v>444</v>
      </c>
      <c r="W29" s="589">
        <v>33.159999999999997</v>
      </c>
      <c r="X29" s="591">
        <f t="shared" si="4"/>
        <v>7.4530136098509336E-2</v>
      </c>
      <c r="Y29" s="351"/>
      <c r="Z29" s="590">
        <v>46110</v>
      </c>
      <c r="AA29" s="592">
        <v>6582.69</v>
      </c>
      <c r="AB29" s="591">
        <f t="shared" si="5"/>
        <v>3.3575920299582895E-2</v>
      </c>
    </row>
    <row r="30" spans="2:28">
      <c r="B30" s="590" t="s">
        <v>445</v>
      </c>
      <c r="C30" s="589">
        <v>305.89999999999998</v>
      </c>
      <c r="D30" s="591">
        <f t="shared" si="0"/>
        <v>-9.5515622470456751E-3</v>
      </c>
      <c r="F30" s="590">
        <v>46103</v>
      </c>
      <c r="G30" s="589">
        <v>153.96</v>
      </c>
      <c r="H30" s="591">
        <f t="shared" si="6"/>
        <v>-1.5663960104852603E-2</v>
      </c>
      <c r="J30" s="594" t="s">
        <v>445</v>
      </c>
      <c r="K30" s="441">
        <v>71.42</v>
      </c>
      <c r="L30" s="591">
        <f t="shared" si="1"/>
        <v>-3.1593220338983041E-2</v>
      </c>
      <c r="N30" s="590" t="s">
        <v>445</v>
      </c>
      <c r="O30" s="589">
        <v>348.14</v>
      </c>
      <c r="P30" s="591">
        <f t="shared" si="2"/>
        <v>-6.7523771260211696E-2</v>
      </c>
      <c r="Q30" s="351"/>
      <c r="R30" s="589" t="s">
        <v>445</v>
      </c>
      <c r="S30" s="589">
        <v>6.8</v>
      </c>
      <c r="T30" s="591">
        <f t="shared" si="3"/>
        <v>-4.0902679830747579E-2</v>
      </c>
      <c r="U30" s="351"/>
      <c r="V30" s="589" t="s">
        <v>445</v>
      </c>
      <c r="W30" s="589">
        <v>30.86</v>
      </c>
      <c r="X30" s="591">
        <f t="shared" si="4"/>
        <v>-7.5217261012885728E-2</v>
      </c>
      <c r="Y30" s="351"/>
      <c r="Z30" s="590">
        <v>46103</v>
      </c>
      <c r="AA30" s="592">
        <v>6368.85</v>
      </c>
      <c r="AB30" s="591">
        <f t="shared" si="5"/>
        <v>-2.1152758480775913E-2</v>
      </c>
    </row>
    <row r="31" spans="2:28">
      <c r="B31" s="590" t="s">
        <v>446</v>
      </c>
      <c r="C31" s="589">
        <v>308.85000000000002</v>
      </c>
      <c r="D31" s="591">
        <f t="shared" si="0"/>
        <v>-5.3942290020216777E-2</v>
      </c>
      <c r="F31" s="590">
        <v>46096</v>
      </c>
      <c r="G31" s="589">
        <v>156.41</v>
      </c>
      <c r="H31" s="591">
        <f t="shared" si="6"/>
        <v>-2.4875311720698345E-2</v>
      </c>
      <c r="J31" s="594" t="s">
        <v>446</v>
      </c>
      <c r="K31" s="441">
        <v>73.75</v>
      </c>
      <c r="L31" s="591">
        <f t="shared" si="1"/>
        <v>1.5141087405368125E-2</v>
      </c>
      <c r="N31" s="590" t="s">
        <v>446</v>
      </c>
      <c r="O31" s="589">
        <v>373.35</v>
      </c>
      <c r="P31" s="591">
        <f t="shared" si="2"/>
        <v>-7.0413066752981535E-2</v>
      </c>
      <c r="Q31" s="351"/>
      <c r="R31" s="589" t="s">
        <v>446</v>
      </c>
      <c r="S31" s="589">
        <v>7.09</v>
      </c>
      <c r="T31" s="591">
        <f t="shared" si="3"/>
        <v>-1.1157601115760141E-2</v>
      </c>
      <c r="U31" s="351"/>
      <c r="V31" s="589" t="s">
        <v>446</v>
      </c>
      <c r="W31" s="589">
        <v>33.369999999999997</v>
      </c>
      <c r="X31" s="591">
        <f t="shared" si="4"/>
        <v>2.61377613776137E-2</v>
      </c>
      <c r="Y31" s="351"/>
      <c r="Z31" s="590">
        <v>46096</v>
      </c>
      <c r="AA31" s="592">
        <v>6506.48</v>
      </c>
      <c r="AB31" s="591">
        <f t="shared" si="5"/>
        <v>-1.8954523317335603E-2</v>
      </c>
    </row>
    <row r="32" spans="2:28">
      <c r="B32" s="590">
        <v>46237</v>
      </c>
      <c r="C32" s="589">
        <v>326.45999999999998</v>
      </c>
      <c r="D32" s="591">
        <f t="shared" si="0"/>
        <v>-4.8771566176919467E-3</v>
      </c>
      <c r="F32" s="590">
        <v>46089</v>
      </c>
      <c r="G32" s="589">
        <v>160.4</v>
      </c>
      <c r="H32" s="591">
        <f t="shared" si="6"/>
        <v>2.4999999999999467E-3</v>
      </c>
      <c r="J32" s="594">
        <v>46237</v>
      </c>
      <c r="K32" s="441">
        <v>72.650000000000006</v>
      </c>
      <c r="L32" s="591">
        <f t="shared" si="1"/>
        <v>-1.7977831846444969E-2</v>
      </c>
      <c r="N32" s="590">
        <v>46237</v>
      </c>
      <c r="O32" s="589">
        <v>401.63</v>
      </c>
      <c r="P32" s="591">
        <f t="shared" si="2"/>
        <v>-1.6600964716828703E-2</v>
      </c>
      <c r="Q32" s="351"/>
      <c r="R32" s="590">
        <v>46237</v>
      </c>
      <c r="S32" s="589">
        <v>7.17</v>
      </c>
      <c r="T32" s="591">
        <f t="shared" si="3"/>
        <v>-3.3692722371967632E-2</v>
      </c>
      <c r="U32" s="351"/>
      <c r="V32" s="590">
        <v>46237</v>
      </c>
      <c r="W32" s="589">
        <v>32.520000000000003</v>
      </c>
      <c r="X32" s="591">
        <f t="shared" si="4"/>
        <v>-8.0576759966072831E-2</v>
      </c>
      <c r="Y32" s="351"/>
      <c r="Z32" s="590">
        <v>46089</v>
      </c>
      <c r="AA32" s="592">
        <v>6632.19</v>
      </c>
      <c r="AB32" s="591">
        <f t="shared" si="5"/>
        <v>-1.5998468847273628E-2</v>
      </c>
    </row>
    <row r="33" spans="2:28">
      <c r="B33" s="590">
        <v>46025</v>
      </c>
      <c r="C33" s="589">
        <v>328.06</v>
      </c>
      <c r="D33" s="591">
        <f t="shared" si="0"/>
        <v>-3.8116460446842249E-2</v>
      </c>
      <c r="F33" s="590">
        <v>46082</v>
      </c>
      <c r="G33" s="589">
        <v>160</v>
      </c>
      <c r="H33" s="591">
        <f t="shared" si="6"/>
        <v>-4.8525214081826862E-2</v>
      </c>
      <c r="J33" s="594">
        <v>46025</v>
      </c>
      <c r="K33" s="441">
        <v>73.98</v>
      </c>
      <c r="L33" s="591">
        <f t="shared" si="1"/>
        <v>3.1655278203876813E-2</v>
      </c>
      <c r="N33" s="590">
        <v>46025</v>
      </c>
      <c r="O33" s="589">
        <v>408.41</v>
      </c>
      <c r="P33" s="591">
        <f t="shared" si="2"/>
        <v>1.4658020918735026E-2</v>
      </c>
      <c r="Q33" s="351"/>
      <c r="R33" s="590">
        <v>46025</v>
      </c>
      <c r="S33" s="589">
        <v>7.42</v>
      </c>
      <c r="T33" s="591">
        <f t="shared" si="3"/>
        <v>-3.1331592689295085E-2</v>
      </c>
      <c r="U33" s="351"/>
      <c r="V33" s="590">
        <v>46025</v>
      </c>
      <c r="W33" s="589">
        <v>35.369999999999997</v>
      </c>
      <c r="X33" s="591">
        <f t="shared" si="4"/>
        <v>-4.9704459967759296E-2</v>
      </c>
      <c r="Y33" s="351"/>
      <c r="Z33" s="590">
        <v>46082</v>
      </c>
      <c r="AA33" s="592">
        <v>6740.02</v>
      </c>
      <c r="AB33" s="591">
        <f t="shared" si="5"/>
        <v>-2.0186425697206523E-2</v>
      </c>
    </row>
    <row r="34" spans="2:28">
      <c r="B34" s="590" t="s">
        <v>447</v>
      </c>
      <c r="C34" s="589">
        <v>341.06</v>
      </c>
      <c r="D34" s="591">
        <f t="shared" si="0"/>
        <v>3.5932326944689175E-2</v>
      </c>
      <c r="F34" s="590">
        <v>46075</v>
      </c>
      <c r="G34" s="589">
        <v>168.16</v>
      </c>
      <c r="H34" s="591">
        <f t="shared" si="6"/>
        <v>2.9572032082287203E-2</v>
      </c>
      <c r="J34" s="594" t="s">
        <v>447</v>
      </c>
      <c r="K34" s="441">
        <v>71.709999999999994</v>
      </c>
      <c r="L34" s="591">
        <f t="shared" si="1"/>
        <v>4.1993606509735493E-2</v>
      </c>
      <c r="N34" s="590" t="s">
        <v>447</v>
      </c>
      <c r="O34" s="589">
        <v>402.51</v>
      </c>
      <c r="P34" s="591">
        <f t="shared" si="2"/>
        <v>4.6540651569122016E-2</v>
      </c>
      <c r="Q34" s="351"/>
      <c r="R34" s="589" t="s">
        <v>447</v>
      </c>
      <c r="S34" s="589">
        <v>7.66</v>
      </c>
      <c r="T34" s="591">
        <f t="shared" si="3"/>
        <v>-5.3152039555006136E-2</v>
      </c>
      <c r="U34" s="351"/>
      <c r="V34" s="589" t="s">
        <v>447</v>
      </c>
      <c r="W34" s="589">
        <v>37.22</v>
      </c>
      <c r="X34" s="591">
        <f t="shared" si="4"/>
        <v>-8.5242408098028521E-3</v>
      </c>
      <c r="Y34" s="351"/>
      <c r="Z34" s="590">
        <v>46075</v>
      </c>
      <c r="AA34" s="592">
        <v>6878.88</v>
      </c>
      <c r="AB34" s="591">
        <f t="shared" si="5"/>
        <v>-4.4330205759887109E-3</v>
      </c>
    </row>
    <row r="35" spans="2:28">
      <c r="B35" s="590" t="s">
        <v>448</v>
      </c>
      <c r="C35" s="589">
        <v>329.23</v>
      </c>
      <c r="D35" s="591">
        <f t="shared" si="0"/>
        <v>5.0369375419745399E-3</v>
      </c>
      <c r="F35" s="590">
        <v>46068</v>
      </c>
      <c r="G35" s="589">
        <v>163.33000000000001</v>
      </c>
      <c r="H35" s="591">
        <f t="shared" si="6"/>
        <v>1.7188765024600094E-2</v>
      </c>
      <c r="J35" s="594" t="s">
        <v>448</v>
      </c>
      <c r="K35" s="441">
        <v>68.819999999999993</v>
      </c>
      <c r="L35" s="591">
        <f t="shared" si="1"/>
        <v>4.0520108859993798E-2</v>
      </c>
      <c r="N35" s="590" t="s">
        <v>448</v>
      </c>
      <c r="O35" s="589">
        <v>384.61</v>
      </c>
      <c r="P35" s="591">
        <f t="shared" si="2"/>
        <v>2.4260985352862807E-2</v>
      </c>
      <c r="Q35" s="351"/>
      <c r="R35" s="589" t="s">
        <v>448</v>
      </c>
      <c r="S35" s="589">
        <v>8.09</v>
      </c>
      <c r="T35" s="591">
        <f t="shared" si="3"/>
        <v>8.1550802139037426E-2</v>
      </c>
      <c r="U35" s="351"/>
      <c r="V35" s="589" t="s">
        <v>448</v>
      </c>
      <c r="W35" s="589">
        <v>37.54</v>
      </c>
      <c r="X35" s="591">
        <f t="shared" si="4"/>
        <v>3.4159779614325148E-2</v>
      </c>
      <c r="Y35" s="351"/>
      <c r="Z35" s="590">
        <v>46068</v>
      </c>
      <c r="AA35" s="592">
        <v>6909.51</v>
      </c>
      <c r="AB35" s="591">
        <f t="shared" si="5"/>
        <v>1.07282294033062E-2</v>
      </c>
    </row>
    <row r="36" spans="2:28">
      <c r="B36" s="590">
        <v>46236</v>
      </c>
      <c r="C36" s="589">
        <v>327.58</v>
      </c>
      <c r="D36" s="591">
        <f t="shared" si="0"/>
        <v>1.2837755226799974E-3</v>
      </c>
      <c r="F36" s="590">
        <v>46061</v>
      </c>
      <c r="G36" s="589">
        <v>160.57</v>
      </c>
      <c r="H36" s="591">
        <f t="shared" si="6"/>
        <v>-1.4484748051310503E-2</v>
      </c>
      <c r="J36" s="594">
        <v>46236</v>
      </c>
      <c r="K36" s="441">
        <v>66.14</v>
      </c>
      <c r="L36" s="591">
        <f t="shared" si="1"/>
        <v>-6.7136812411847768E-2</v>
      </c>
      <c r="N36" s="590">
        <v>46236</v>
      </c>
      <c r="O36" s="589">
        <v>375.5</v>
      </c>
      <c r="P36" s="591">
        <f t="shared" si="2"/>
        <v>-4.9078200972447306E-2</v>
      </c>
      <c r="Q36" s="351"/>
      <c r="R36" s="590">
        <v>46236</v>
      </c>
      <c r="S36" s="589">
        <v>7.48</v>
      </c>
      <c r="T36" s="591">
        <f t="shared" si="3"/>
        <v>-6.7331670822942558E-2</v>
      </c>
      <c r="U36" s="351"/>
      <c r="V36" s="590">
        <v>46236</v>
      </c>
      <c r="W36" s="589">
        <v>36.299999999999997</v>
      </c>
      <c r="X36" s="591">
        <f t="shared" si="4"/>
        <v>-7.844630616907855E-2</v>
      </c>
      <c r="Y36" s="351"/>
      <c r="Z36" s="590">
        <v>46061</v>
      </c>
      <c r="AA36" s="592">
        <v>6836.17</v>
      </c>
      <c r="AB36" s="591">
        <f t="shared" si="5"/>
        <v>-1.3866970558112035E-2</v>
      </c>
    </row>
    <row r="37" spans="2:28">
      <c r="B37" s="590">
        <v>46024</v>
      </c>
      <c r="C37" s="589">
        <v>327.16000000000003</v>
      </c>
      <c r="D37" s="591">
        <f t="shared" si="0"/>
        <v>3.860317460317475E-2</v>
      </c>
      <c r="F37" s="590">
        <v>46054</v>
      </c>
      <c r="G37" s="589">
        <v>162.93</v>
      </c>
      <c r="H37" s="591">
        <f t="shared" si="6"/>
        <v>4.7781350482315244E-2</v>
      </c>
      <c r="J37" s="594">
        <v>46024</v>
      </c>
      <c r="K37" s="441">
        <v>70.900000000000006</v>
      </c>
      <c r="L37" s="591">
        <f t="shared" si="1"/>
        <v>5.8366920435886094E-2</v>
      </c>
      <c r="N37" s="590">
        <v>46024</v>
      </c>
      <c r="O37" s="589">
        <v>394.88</v>
      </c>
      <c r="P37" s="591">
        <f t="shared" si="2"/>
        <v>-3.7652621061097125E-2</v>
      </c>
      <c r="Q37" s="351"/>
      <c r="R37" s="590">
        <v>46024</v>
      </c>
      <c r="S37" s="589">
        <v>8.02</v>
      </c>
      <c r="T37" s="591">
        <f t="shared" si="3"/>
        <v>2.9525032092426073E-2</v>
      </c>
      <c r="U37" s="351"/>
      <c r="V37" s="590">
        <v>46024</v>
      </c>
      <c r="W37" s="589">
        <v>39.39</v>
      </c>
      <c r="X37" s="591">
        <f t="shared" si="4"/>
        <v>1.3377926421404673E-2</v>
      </c>
      <c r="Y37" s="351"/>
      <c r="Z37" s="590">
        <v>46054</v>
      </c>
      <c r="AA37" s="592">
        <v>6932.3</v>
      </c>
      <c r="AB37" s="591">
        <f t="shared" si="5"/>
        <v>-9.6987619307009609E-4</v>
      </c>
    </row>
    <row r="38" spans="2:28">
      <c r="B38" s="590" t="s">
        <v>449</v>
      </c>
      <c r="C38" s="589">
        <v>315</v>
      </c>
      <c r="D38" s="591">
        <f t="shared" si="0"/>
        <v>1.8593371059013819E-2</v>
      </c>
      <c r="F38" s="590">
        <v>46047</v>
      </c>
      <c r="G38" s="589">
        <v>155.5</v>
      </c>
      <c r="H38" s="591">
        <f t="shared" si="6"/>
        <v>1.6539190690985084E-2</v>
      </c>
      <c r="J38" s="594" t="s">
        <v>449</v>
      </c>
      <c r="K38" s="441">
        <v>66.989999999999995</v>
      </c>
      <c r="L38" s="591">
        <f t="shared" si="1"/>
        <v>-2.0614035087719418E-2</v>
      </c>
      <c r="N38" s="590" t="s">
        <v>449</v>
      </c>
      <c r="O38" s="589">
        <v>410.33</v>
      </c>
      <c r="P38" s="591">
        <f t="shared" si="2"/>
        <v>-2.843256379100878E-3</v>
      </c>
      <c r="Q38" s="351"/>
      <c r="R38" s="589" t="s">
        <v>449</v>
      </c>
      <c r="S38" s="589">
        <v>7.79</v>
      </c>
      <c r="T38" s="591">
        <f t="shared" si="3"/>
        <v>-7.4821852731591476E-2</v>
      </c>
      <c r="U38" s="351"/>
      <c r="V38" s="589" t="s">
        <v>449</v>
      </c>
      <c r="W38" s="589">
        <v>38.869999999999997</v>
      </c>
      <c r="X38" s="591">
        <f t="shared" si="4"/>
        <v>-4.89356496207487E-2</v>
      </c>
      <c r="Y38" s="351"/>
      <c r="Z38" s="590">
        <v>46047</v>
      </c>
      <c r="AA38" s="592">
        <v>6939.03</v>
      </c>
      <c r="AB38" s="591">
        <f t="shared" si="5"/>
        <v>3.3865414619969059E-3</v>
      </c>
    </row>
    <row r="39" spans="2:28">
      <c r="B39" s="590" t="s">
        <v>450</v>
      </c>
      <c r="C39" s="589">
        <v>309.25</v>
      </c>
      <c r="D39" s="591">
        <f t="shared" si="0"/>
        <v>5.9200468399309703E-3</v>
      </c>
      <c r="F39" s="590">
        <v>46040</v>
      </c>
      <c r="G39" s="589">
        <v>152.97</v>
      </c>
      <c r="H39" s="591">
        <f t="shared" si="6"/>
        <v>-4.548858105578435E-2</v>
      </c>
      <c r="J39" s="594" t="s">
        <v>450</v>
      </c>
      <c r="K39" s="441">
        <v>68.400000000000006</v>
      </c>
      <c r="L39" s="591">
        <f t="shared" si="1"/>
        <v>1.0244402165959787E-3</v>
      </c>
      <c r="N39" s="590" t="s">
        <v>450</v>
      </c>
      <c r="O39" s="589">
        <v>411.5</v>
      </c>
      <c r="P39" s="591">
        <f t="shared" si="2"/>
        <v>2.8030378734885675E-2</v>
      </c>
      <c r="Q39" s="351"/>
      <c r="R39" s="589" t="s">
        <v>450</v>
      </c>
      <c r="S39" s="589">
        <v>8.42</v>
      </c>
      <c r="T39" s="591">
        <f t="shared" si="3"/>
        <v>1.2019230769230616E-2</v>
      </c>
      <c r="U39" s="351"/>
      <c r="V39" s="589" t="s">
        <v>450</v>
      </c>
      <c r="W39" s="589">
        <v>40.869999999999997</v>
      </c>
      <c r="X39" s="591">
        <f t="shared" si="4"/>
        <v>2.2772772772772676E-2</v>
      </c>
      <c r="Y39" s="351"/>
      <c r="Z39" s="590">
        <v>46040</v>
      </c>
      <c r="AA39" s="592">
        <v>6915.61</v>
      </c>
      <c r="AB39" s="591">
        <f t="shared" si="5"/>
        <v>-3.5158450780331529E-3</v>
      </c>
    </row>
    <row r="40" spans="2:28">
      <c r="B40" s="590">
        <v>46327</v>
      </c>
      <c r="C40" s="589">
        <v>307.43</v>
      </c>
      <c r="D40" s="591">
        <f t="shared" si="0"/>
        <v>3.579330990499674E-4</v>
      </c>
      <c r="F40" s="590">
        <v>46033</v>
      </c>
      <c r="G40" s="589">
        <v>160.26</v>
      </c>
      <c r="H40" s="591">
        <f t="shared" si="6"/>
        <v>3.0478395061728225E-2</v>
      </c>
      <c r="J40" s="594">
        <v>46327</v>
      </c>
      <c r="K40" s="441">
        <v>68.33</v>
      </c>
      <c r="L40" s="591">
        <f t="shared" si="1"/>
        <v>-9.7101449275363017E-3</v>
      </c>
      <c r="N40" s="590">
        <v>46327</v>
      </c>
      <c r="O40" s="589">
        <v>400.28</v>
      </c>
      <c r="P40" s="591">
        <f t="shared" si="2"/>
        <v>-1.1873904564417836E-2</v>
      </c>
      <c r="Q40" s="351"/>
      <c r="R40" s="590">
        <v>46327</v>
      </c>
      <c r="S40" s="589">
        <v>8.32</v>
      </c>
      <c r="T40" s="591">
        <f t="shared" si="3"/>
        <v>-3.8150289017341077E-2</v>
      </c>
      <c r="U40" s="351"/>
      <c r="V40" s="590">
        <v>46327</v>
      </c>
      <c r="W40" s="589">
        <v>39.96</v>
      </c>
      <c r="X40" s="591">
        <f t="shared" si="4"/>
        <v>-3.7397157816005944E-3</v>
      </c>
      <c r="Y40" s="351"/>
      <c r="Z40" s="590">
        <v>46033</v>
      </c>
      <c r="AA40" s="592">
        <v>6940.01</v>
      </c>
      <c r="AB40" s="591">
        <f t="shared" si="5"/>
        <v>-3.7710226979104089E-3</v>
      </c>
    </row>
    <row r="41" spans="2:28">
      <c r="B41" s="590">
        <v>46113</v>
      </c>
      <c r="C41" s="589">
        <v>307.32</v>
      </c>
      <c r="D41" s="591">
        <f t="shared" si="0"/>
        <v>1.3387852008177825E-2</v>
      </c>
      <c r="F41" s="590">
        <v>46026</v>
      </c>
      <c r="G41" s="589">
        <v>155.52000000000001</v>
      </c>
      <c r="H41" s="591">
        <f t="shared" si="6"/>
        <v>3.34241477839059E-2</v>
      </c>
      <c r="J41" s="594">
        <v>46113</v>
      </c>
      <c r="K41" s="441">
        <v>69</v>
      </c>
      <c r="L41" s="591">
        <f t="shared" si="1"/>
        <v>1.7549034065772018E-2</v>
      </c>
      <c r="N41" s="590">
        <v>46113</v>
      </c>
      <c r="O41" s="589">
        <v>405.09</v>
      </c>
      <c r="P41" s="591">
        <f t="shared" si="2"/>
        <v>-4.7474604966139977E-2</v>
      </c>
      <c r="Q41" s="351"/>
      <c r="R41" s="590">
        <v>46113</v>
      </c>
      <c r="S41" s="589">
        <v>8.65</v>
      </c>
      <c r="T41" s="591">
        <f t="shared" si="3"/>
        <v>5.875152998776012E-2</v>
      </c>
      <c r="U41" s="351"/>
      <c r="V41" s="590">
        <v>46113</v>
      </c>
      <c r="W41" s="589">
        <v>40.11</v>
      </c>
      <c r="X41" s="591">
        <f t="shared" si="4"/>
        <v>6.9885302747399125E-2</v>
      </c>
      <c r="Y41" s="351"/>
      <c r="Z41" s="590">
        <v>46026</v>
      </c>
      <c r="AA41" s="592">
        <v>6966.28</v>
      </c>
      <c r="AB41" s="591">
        <f t="shared" si="5"/>
        <v>1.5719249336951124E-2</v>
      </c>
    </row>
    <row r="42" spans="2:28">
      <c r="B42" s="590" t="s">
        <v>451</v>
      </c>
      <c r="C42" s="589">
        <v>303.26</v>
      </c>
      <c r="D42" s="591">
        <f t="shared" si="0"/>
        <v>-2.3883095146131073E-2</v>
      </c>
      <c r="F42" s="590">
        <v>46019</v>
      </c>
      <c r="G42" s="589">
        <v>150.49</v>
      </c>
      <c r="H42" s="591">
        <f t="shared" si="6"/>
        <v>-1.7945706081962887E-2</v>
      </c>
      <c r="J42" s="594" t="s">
        <v>451</v>
      </c>
      <c r="K42" s="441">
        <v>67.81</v>
      </c>
      <c r="L42" s="591">
        <f t="shared" si="1"/>
        <v>-2.9622209502003338E-2</v>
      </c>
      <c r="N42" s="590" t="s">
        <v>451</v>
      </c>
      <c r="O42" s="589">
        <v>425.28</v>
      </c>
      <c r="P42" s="591">
        <f t="shared" si="2"/>
        <v>-6.5795657486611425E-4</v>
      </c>
      <c r="Q42" s="351"/>
      <c r="R42" s="589" t="s">
        <v>451</v>
      </c>
      <c r="S42" s="589">
        <v>8.17</v>
      </c>
      <c r="T42" s="591">
        <f t="shared" si="3"/>
        <v>-2.1556886227544925E-2</v>
      </c>
      <c r="U42" s="351"/>
      <c r="V42" s="589" t="s">
        <v>451</v>
      </c>
      <c r="W42" s="589">
        <v>37.49</v>
      </c>
      <c r="X42" s="591">
        <f t="shared" si="4"/>
        <v>-8.4633694789738589E-3</v>
      </c>
      <c r="Y42" s="351"/>
      <c r="Z42" s="590">
        <v>46019</v>
      </c>
      <c r="AA42" s="592">
        <v>6858.47</v>
      </c>
      <c r="AB42" s="591">
        <f t="shared" si="5"/>
        <v>-1.031322060508455E-2</v>
      </c>
    </row>
    <row r="43" spans="2:28">
      <c r="B43" s="590" t="s">
        <v>452</v>
      </c>
      <c r="C43" s="589">
        <v>310.68</v>
      </c>
      <c r="D43" s="591">
        <f t="shared" si="0"/>
        <v>-1.6337386018236977E-2</v>
      </c>
      <c r="F43" s="590">
        <v>46012</v>
      </c>
      <c r="G43" s="589">
        <v>153.24</v>
      </c>
      <c r="H43" s="591">
        <f t="shared" si="6"/>
        <v>-3.3170731707315992E-3</v>
      </c>
      <c r="J43" s="594" t="s">
        <v>452</v>
      </c>
      <c r="K43" s="441">
        <v>69.88</v>
      </c>
      <c r="L43" s="591">
        <f t="shared" si="1"/>
        <v>-2.4268379728765721E-3</v>
      </c>
      <c r="N43" s="590" t="s">
        <v>452</v>
      </c>
      <c r="O43" s="589">
        <v>425.56</v>
      </c>
      <c r="P43" s="591">
        <f t="shared" si="2"/>
        <v>-1.3788788208847991E-2</v>
      </c>
      <c r="Q43" s="351"/>
      <c r="R43" s="589" t="s">
        <v>452</v>
      </c>
      <c r="S43" s="589">
        <v>8.35</v>
      </c>
      <c r="T43" s="591">
        <f t="shared" si="3"/>
        <v>-3.5799522673032325E-3</v>
      </c>
      <c r="U43" s="351"/>
      <c r="V43" s="589" t="s">
        <v>452</v>
      </c>
      <c r="W43" s="589">
        <v>37.81</v>
      </c>
      <c r="X43" s="591">
        <f t="shared" si="4"/>
        <v>4.5164718384698155E-3</v>
      </c>
      <c r="Y43" s="351"/>
      <c r="Z43" s="590">
        <v>46012</v>
      </c>
      <c r="AA43" s="592">
        <v>6929.94</v>
      </c>
      <c r="AB43" s="591">
        <f t="shared" si="5"/>
        <v>1.3964445094739819E-2</v>
      </c>
    </row>
    <row r="44" spans="2:28">
      <c r="B44" s="590" t="s">
        <v>453</v>
      </c>
      <c r="C44" s="589">
        <v>315.83999999999997</v>
      </c>
      <c r="D44" s="591">
        <f t="shared" si="0"/>
        <v>-2.778479413993562E-3</v>
      </c>
      <c r="F44" s="590">
        <v>46005</v>
      </c>
      <c r="G44" s="589">
        <v>153.75</v>
      </c>
      <c r="H44" s="591">
        <f t="shared" si="6"/>
        <v>1.7807493711108124E-2</v>
      </c>
      <c r="J44" s="594" t="s">
        <v>453</v>
      </c>
      <c r="K44" s="441">
        <v>70.05</v>
      </c>
      <c r="L44" s="591">
        <f t="shared" si="1"/>
        <v>-1.1570481162692325E-2</v>
      </c>
      <c r="N44" s="590" t="s">
        <v>453</v>
      </c>
      <c r="O44" s="589">
        <v>431.51</v>
      </c>
      <c r="P44" s="591">
        <f t="shared" si="2"/>
        <v>-5.0957774535020928E-4</v>
      </c>
      <c r="Q44" s="351"/>
      <c r="R44" s="589" t="s">
        <v>453</v>
      </c>
      <c r="S44" s="589">
        <v>8.3800000000000008</v>
      </c>
      <c r="T44" s="591">
        <f t="shared" si="3"/>
        <v>-2.6713124274099775E-2</v>
      </c>
      <c r="U44" s="351"/>
      <c r="V44" s="589" t="s">
        <v>453</v>
      </c>
      <c r="W44" s="589">
        <v>37.64</v>
      </c>
      <c r="X44" s="591">
        <f t="shared" si="4"/>
        <v>4.1505257332595358E-2</v>
      </c>
      <c r="Y44" s="351"/>
      <c r="Z44" s="590">
        <v>46005</v>
      </c>
      <c r="AA44" s="592">
        <v>6834.5</v>
      </c>
      <c r="AB44" s="591">
        <f t="shared" si="5"/>
        <v>1.0384611441234259E-3</v>
      </c>
    </row>
    <row r="45" spans="2:28">
      <c r="B45" s="590">
        <v>45850</v>
      </c>
      <c r="C45" s="589">
        <v>316.72000000000003</v>
      </c>
      <c r="D45" s="591">
        <f t="shared" si="0"/>
        <v>1.7639687690775396E-2</v>
      </c>
      <c r="F45" s="590">
        <v>45998</v>
      </c>
      <c r="G45" s="589">
        <v>151.06</v>
      </c>
      <c r="H45" s="591">
        <f t="shared" si="6"/>
        <v>4.2080573951434941E-2</v>
      </c>
      <c r="J45" s="594">
        <v>45850</v>
      </c>
      <c r="K45" s="441">
        <v>70.87</v>
      </c>
      <c r="L45" s="591">
        <f t="shared" si="1"/>
        <v>-3.6306771824857198E-2</v>
      </c>
      <c r="N45" s="590">
        <v>45850</v>
      </c>
      <c r="O45" s="589">
        <v>431.73</v>
      </c>
      <c r="P45" s="591">
        <f t="shared" si="2"/>
        <v>3.6442203817068863E-2</v>
      </c>
      <c r="Q45" s="351"/>
      <c r="R45" s="590">
        <v>45850</v>
      </c>
      <c r="S45" s="589">
        <v>8.61</v>
      </c>
      <c r="T45" s="591">
        <f t="shared" si="3"/>
        <v>2.0142180094786744E-2</v>
      </c>
      <c r="U45" s="351"/>
      <c r="V45" s="590">
        <v>45850</v>
      </c>
      <c r="W45" s="589">
        <v>36.14</v>
      </c>
      <c r="X45" s="591">
        <f t="shared" si="4"/>
        <v>6.4820271066588164E-2</v>
      </c>
      <c r="Y45" s="351"/>
      <c r="Z45" s="590">
        <v>45998</v>
      </c>
      <c r="AA45" s="592">
        <v>6827.41</v>
      </c>
      <c r="AB45" s="591">
        <f t="shared" si="5"/>
        <v>-6.2572775966464045E-3</v>
      </c>
    </row>
    <row r="46" spans="2:28">
      <c r="B46" s="590" t="s">
        <v>454</v>
      </c>
      <c r="C46" s="589">
        <v>311.23</v>
      </c>
      <c r="D46" s="591">
        <f t="shared" si="0"/>
        <v>-1.8921172471296765E-3</v>
      </c>
      <c r="F46" s="590">
        <v>45991</v>
      </c>
      <c r="G46" s="589">
        <v>144.96</v>
      </c>
      <c r="H46" s="591">
        <f t="shared" si="6"/>
        <v>-5.3847660074407666E-2</v>
      </c>
      <c r="J46" s="594" t="s">
        <v>454</v>
      </c>
      <c r="K46" s="441">
        <v>73.540000000000006</v>
      </c>
      <c r="L46" s="591">
        <f t="shared" si="1"/>
        <v>1.588617212322152E-2</v>
      </c>
      <c r="N46" s="590" t="s">
        <v>454</v>
      </c>
      <c r="O46" s="589">
        <v>416.55</v>
      </c>
      <c r="P46" s="591">
        <f t="shared" si="2"/>
        <v>-7.3397993470437628E-3</v>
      </c>
      <c r="Q46" s="351"/>
      <c r="R46" s="589" t="s">
        <v>454</v>
      </c>
      <c r="S46" s="589">
        <v>8.44</v>
      </c>
      <c r="T46" s="591">
        <f t="shared" si="3"/>
        <v>-1.1834319526626835E-3</v>
      </c>
      <c r="U46" s="351"/>
      <c r="V46" s="589" t="s">
        <v>454</v>
      </c>
      <c r="W46" s="589">
        <v>33.94</v>
      </c>
      <c r="X46" s="591">
        <f t="shared" si="4"/>
        <v>-1.6801853997682636E-2</v>
      </c>
      <c r="Y46" s="351"/>
      <c r="Z46" s="590">
        <v>45991</v>
      </c>
      <c r="AA46" s="592">
        <v>6870.4</v>
      </c>
      <c r="AB46" s="591">
        <f t="shared" si="5"/>
        <v>3.1113622393630358E-3</v>
      </c>
    </row>
    <row r="47" spans="2:28">
      <c r="B47" s="590" t="s">
        <v>455</v>
      </c>
      <c r="C47" s="589">
        <v>311.82</v>
      </c>
      <c r="D47" s="591">
        <f t="shared" si="0"/>
        <v>7.9844835946338844E-3</v>
      </c>
      <c r="F47" s="590">
        <v>45984</v>
      </c>
      <c r="G47" s="589">
        <v>153.21</v>
      </c>
      <c r="H47" s="591">
        <f t="shared" si="6"/>
        <v>1.5034645051641427E-3</v>
      </c>
      <c r="J47" s="594" t="s">
        <v>455</v>
      </c>
      <c r="K47" s="441">
        <v>72.39</v>
      </c>
      <c r="L47" s="591">
        <f t="shared" si="1"/>
        <v>2.6662884697205902E-2</v>
      </c>
      <c r="N47" s="590" t="s">
        <v>455</v>
      </c>
      <c r="O47" s="589">
        <v>419.63</v>
      </c>
      <c r="P47" s="591">
        <f t="shared" si="2"/>
        <v>3.0019636720667764E-2</v>
      </c>
      <c r="Q47" s="351"/>
      <c r="R47" s="589" t="s">
        <v>455</v>
      </c>
      <c r="S47" s="589">
        <v>8.4499999999999993</v>
      </c>
      <c r="T47" s="591">
        <f t="shared" si="3"/>
        <v>1.93003618817853E-2</v>
      </c>
      <c r="U47" s="351"/>
      <c r="V47" s="589" t="s">
        <v>455</v>
      </c>
      <c r="W47" s="589">
        <v>34.520000000000003</v>
      </c>
      <c r="X47" s="591">
        <f t="shared" si="4"/>
        <v>9.1368953525134522E-2</v>
      </c>
      <c r="Y47" s="351"/>
      <c r="Z47" s="590">
        <v>45984</v>
      </c>
      <c r="AA47" s="592">
        <v>6849.09</v>
      </c>
      <c r="AB47" s="591">
        <f t="shared" si="5"/>
        <v>3.7270993898218974E-2</v>
      </c>
    </row>
    <row r="48" spans="2:28">
      <c r="B48" s="590" t="s">
        <v>456</v>
      </c>
      <c r="C48" s="589">
        <v>309.35000000000002</v>
      </c>
      <c r="D48" s="591">
        <f t="shared" si="0"/>
        <v>7.5562648601115168E-3</v>
      </c>
      <c r="F48" s="590">
        <v>45977</v>
      </c>
      <c r="G48" s="589">
        <v>152.97999999999999</v>
      </c>
      <c r="H48" s="591">
        <f t="shared" si="6"/>
        <v>2.6573614279962188E-2</v>
      </c>
      <c r="J48" s="594" t="s">
        <v>456</v>
      </c>
      <c r="K48" s="441">
        <v>70.510000000000005</v>
      </c>
      <c r="L48" s="591">
        <f t="shared" si="1"/>
        <v>2.6645311589982512E-2</v>
      </c>
      <c r="N48" s="590" t="s">
        <v>456</v>
      </c>
      <c r="O48" s="589">
        <v>407.4</v>
      </c>
      <c r="P48" s="591">
        <f t="shared" si="2"/>
        <v>-6.7290813341136513E-3</v>
      </c>
      <c r="Q48" s="351"/>
      <c r="R48" s="589" t="s">
        <v>456</v>
      </c>
      <c r="S48" s="589">
        <v>8.2899999999999991</v>
      </c>
      <c r="T48" s="591">
        <f t="shared" si="3"/>
        <v>-3.8283062645011579E-2</v>
      </c>
      <c r="U48" s="351"/>
      <c r="V48" s="589" t="s">
        <v>456</v>
      </c>
      <c r="W48" s="589">
        <v>31.63</v>
      </c>
      <c r="X48" s="591">
        <f t="shared" si="4"/>
        <v>1.9005384859043239E-3</v>
      </c>
      <c r="Y48" s="351"/>
      <c r="Z48" s="590">
        <v>45977</v>
      </c>
      <c r="AA48" s="592">
        <v>6602.99</v>
      </c>
      <c r="AB48" s="591">
        <f t="shared" si="5"/>
        <v>-1.9471021411886613E-2</v>
      </c>
    </row>
    <row r="49" spans="2:28">
      <c r="B49" s="590">
        <v>45911</v>
      </c>
      <c r="C49" s="589">
        <v>307.02999999999997</v>
      </c>
      <c r="D49" s="591">
        <f t="shared" si="0"/>
        <v>2.4594540479209615E-2</v>
      </c>
      <c r="F49" s="590">
        <v>45970</v>
      </c>
      <c r="G49" s="589">
        <v>149.02000000000001</v>
      </c>
      <c r="H49" s="591">
        <f t="shared" si="6"/>
        <v>-6.7060085836900818E-4</v>
      </c>
      <c r="J49" s="594">
        <v>45911</v>
      </c>
      <c r="K49" s="441">
        <v>68.680000000000007</v>
      </c>
      <c r="L49" s="591">
        <f t="shared" si="1"/>
        <v>1.3876586950103409E-2</v>
      </c>
      <c r="N49" s="590">
        <v>45911</v>
      </c>
      <c r="O49" s="589">
        <v>410.16</v>
      </c>
      <c r="P49" s="591">
        <f t="shared" si="2"/>
        <v>-4.8759081378912938E-5</v>
      </c>
      <c r="Q49" s="351"/>
      <c r="R49" s="590">
        <v>45911</v>
      </c>
      <c r="S49" s="589">
        <v>8.6199999999999992</v>
      </c>
      <c r="T49" s="591">
        <f t="shared" si="3"/>
        <v>-3.9018952062430445E-2</v>
      </c>
      <c r="U49" s="351"/>
      <c r="V49" s="590">
        <v>45911</v>
      </c>
      <c r="W49" s="589">
        <v>31.57</v>
      </c>
      <c r="X49" s="591">
        <f t="shared" si="4"/>
        <v>3.2036613272311332E-2</v>
      </c>
      <c r="Y49" s="351"/>
      <c r="Z49" s="590">
        <v>45970</v>
      </c>
      <c r="AA49" s="592">
        <v>6734.11</v>
      </c>
      <c r="AB49" s="591">
        <f t="shared" si="5"/>
        <v>7.8914516704298165E-4</v>
      </c>
    </row>
    <row r="50" spans="2:28">
      <c r="B50" s="590">
        <v>45699</v>
      </c>
      <c r="C50" s="589">
        <v>299.66000000000003</v>
      </c>
      <c r="D50" s="591">
        <f t="shared" si="0"/>
        <v>4.1215695472975877E-3</v>
      </c>
      <c r="F50" s="590">
        <v>45963</v>
      </c>
      <c r="G50" s="589">
        <v>149.12</v>
      </c>
      <c r="H50" s="591">
        <f t="shared" si="6"/>
        <v>7.8937848202011329E-2</v>
      </c>
      <c r="J50" s="594">
        <v>45699</v>
      </c>
      <c r="K50" s="441">
        <v>67.739999999999995</v>
      </c>
      <c r="L50" s="591">
        <f t="shared" si="1"/>
        <v>3.1207185264119364E-2</v>
      </c>
      <c r="N50" s="590">
        <v>45699</v>
      </c>
      <c r="O50" s="589">
        <v>410.18</v>
      </c>
      <c r="P50" s="591">
        <f t="shared" si="2"/>
        <v>2.9413240977764543E-2</v>
      </c>
      <c r="Q50" s="351"/>
      <c r="R50" s="590">
        <v>45699</v>
      </c>
      <c r="S50" s="589">
        <v>8.9700000000000006</v>
      </c>
      <c r="T50" s="591">
        <f t="shared" si="3"/>
        <v>5.0351288056206256E-2</v>
      </c>
      <c r="U50" s="351"/>
      <c r="V50" s="590">
        <v>45699</v>
      </c>
      <c r="W50" s="589">
        <v>30.59</v>
      </c>
      <c r="X50" s="591">
        <f t="shared" si="4"/>
        <v>-3.4711265383401746E-2</v>
      </c>
      <c r="Y50" s="351"/>
      <c r="Z50" s="590">
        <v>45963</v>
      </c>
      <c r="AA50" s="592">
        <v>6728.8</v>
      </c>
      <c r="AB50" s="591">
        <f t="shared" si="5"/>
        <v>-1.6286073506622589E-2</v>
      </c>
    </row>
    <row r="51" spans="2:28">
      <c r="B51" s="590" t="s">
        <v>457</v>
      </c>
      <c r="C51" s="589">
        <v>298.43</v>
      </c>
      <c r="D51" s="591">
        <f t="shared" si="0"/>
        <v>-2.4068805389319547E-2</v>
      </c>
      <c r="F51" s="590">
        <v>45956</v>
      </c>
      <c r="G51" s="589">
        <v>138.21</v>
      </c>
      <c r="H51" s="591">
        <f t="shared" si="6"/>
        <v>-3.5923549107142905E-2</v>
      </c>
      <c r="J51" s="594" t="s">
        <v>457</v>
      </c>
      <c r="K51" s="441">
        <v>65.69</v>
      </c>
      <c r="L51" s="591">
        <f t="shared" si="1"/>
        <v>-2.5660041530703115E-2</v>
      </c>
      <c r="N51" s="590" t="s">
        <v>457</v>
      </c>
      <c r="O51" s="589">
        <v>398.46</v>
      </c>
      <c r="P51" s="591">
        <f t="shared" si="2"/>
        <v>-3.9531408185894068E-2</v>
      </c>
      <c r="Q51" s="351"/>
      <c r="R51" s="589" t="s">
        <v>457</v>
      </c>
      <c r="S51" s="589">
        <v>8.5399999999999991</v>
      </c>
      <c r="T51" s="591">
        <f t="shared" si="3"/>
        <v>-4.8997772828507924E-2</v>
      </c>
      <c r="U51" s="351"/>
      <c r="V51" s="589" t="s">
        <v>457</v>
      </c>
      <c r="W51" s="589">
        <v>31.69</v>
      </c>
      <c r="X51" s="591">
        <f t="shared" si="4"/>
        <v>-0.23063850449138135</v>
      </c>
      <c r="Y51" s="351"/>
      <c r="Z51" s="590">
        <v>45956</v>
      </c>
      <c r="AA51" s="592">
        <v>6840.2</v>
      </c>
      <c r="AB51" s="591">
        <f t="shared" si="5"/>
        <v>7.1425521482870735E-3</v>
      </c>
    </row>
    <row r="52" spans="2:28">
      <c r="B52" s="590" t="s">
        <v>458</v>
      </c>
      <c r="C52" s="589">
        <v>305.79000000000002</v>
      </c>
      <c r="D52" s="591">
        <f t="shared" si="0"/>
        <v>-7.4653510337886475E-3</v>
      </c>
      <c r="F52" s="590">
        <v>45949</v>
      </c>
      <c r="G52" s="589">
        <v>143.36000000000001</v>
      </c>
      <c r="H52" s="591">
        <f t="shared" si="6"/>
        <v>-1.301204819277102E-2</v>
      </c>
      <c r="J52" s="594" t="s">
        <v>458</v>
      </c>
      <c r="K52" s="441">
        <v>67.42</v>
      </c>
      <c r="L52" s="591">
        <f t="shared" si="1"/>
        <v>5.936479667558725E-4</v>
      </c>
      <c r="N52" s="590" t="s">
        <v>458</v>
      </c>
      <c r="O52" s="589">
        <v>414.86</v>
      </c>
      <c r="P52" s="591">
        <f t="shared" si="2"/>
        <v>-3.3632825637821551E-3</v>
      </c>
      <c r="Q52" s="351"/>
      <c r="R52" s="589" t="s">
        <v>458</v>
      </c>
      <c r="S52" s="589">
        <v>8.98</v>
      </c>
      <c r="T52" s="591">
        <f t="shared" si="3"/>
        <v>1.1261261261261257E-2</v>
      </c>
      <c r="U52" s="351"/>
      <c r="V52" s="589" t="s">
        <v>458</v>
      </c>
      <c r="W52" s="589">
        <v>41.19</v>
      </c>
      <c r="X52" s="591">
        <f t="shared" si="4"/>
        <v>-1.6005733397037814E-2</v>
      </c>
      <c r="Y52" s="351"/>
      <c r="Z52" s="590">
        <v>45949</v>
      </c>
      <c r="AA52" s="592">
        <v>6791.69</v>
      </c>
      <c r="AB52" s="591">
        <f t="shared" si="5"/>
        <v>1.9159635114593065E-2</v>
      </c>
    </row>
    <row r="53" spans="2:28">
      <c r="B53" s="590">
        <v>46001</v>
      </c>
      <c r="C53" s="589">
        <v>308.08999999999997</v>
      </c>
      <c r="D53" s="591">
        <f t="shared" si="0"/>
        <v>3.7305141241035678E-2</v>
      </c>
      <c r="F53" s="590">
        <v>45942</v>
      </c>
      <c r="G53" s="589">
        <v>145.25</v>
      </c>
      <c r="H53" s="591">
        <f t="shared" si="6"/>
        <v>2.5631972885185705E-2</v>
      </c>
      <c r="J53" s="594">
        <v>46001</v>
      </c>
      <c r="K53" s="441">
        <v>67.38</v>
      </c>
      <c r="L53" s="591">
        <f t="shared" si="1"/>
        <v>8.0789946140034097E-3</v>
      </c>
      <c r="N53" s="590">
        <v>46001</v>
      </c>
      <c r="O53" s="589">
        <v>416.26</v>
      </c>
      <c r="P53" s="591">
        <f t="shared" si="2"/>
        <v>2.4337426483254099E-2</v>
      </c>
      <c r="Q53" s="351"/>
      <c r="R53" s="590">
        <v>46001</v>
      </c>
      <c r="S53" s="589">
        <v>8.8800000000000008</v>
      </c>
      <c r="T53" s="591">
        <f t="shared" si="3"/>
        <v>1.9517795637198576E-2</v>
      </c>
      <c r="U53" s="351"/>
      <c r="V53" s="590">
        <v>46001</v>
      </c>
      <c r="W53" s="589">
        <v>41.86</v>
      </c>
      <c r="X53" s="591">
        <f t="shared" si="4"/>
        <v>5.1230537418382793E-2</v>
      </c>
      <c r="Y53" s="351"/>
      <c r="Z53" s="590">
        <v>45942</v>
      </c>
      <c r="AA53" s="592">
        <v>6664.01</v>
      </c>
      <c r="AB53" s="591">
        <f t="shared" si="5"/>
        <v>1.7016379982632612E-2</v>
      </c>
    </row>
    <row r="54" spans="2:28">
      <c r="B54" s="590">
        <v>45787</v>
      </c>
      <c r="C54" s="589">
        <v>297.01</v>
      </c>
      <c r="D54" s="591">
        <f t="shared" si="0"/>
        <v>-1.3190245199016681E-2</v>
      </c>
      <c r="F54" s="590">
        <v>45935</v>
      </c>
      <c r="G54" s="589">
        <v>141.62</v>
      </c>
      <c r="H54" s="591">
        <f t="shared" si="6"/>
        <v>-6.0189793616032827E-2</v>
      </c>
      <c r="J54" s="594">
        <v>45787</v>
      </c>
      <c r="K54" s="441">
        <v>66.84</v>
      </c>
      <c r="L54" s="591">
        <f t="shared" si="1"/>
        <v>-2.3948598130841159E-2</v>
      </c>
      <c r="N54" s="590">
        <v>45787</v>
      </c>
      <c r="O54" s="589">
        <v>406.37</v>
      </c>
      <c r="P54" s="591">
        <f t="shared" si="2"/>
        <v>-4.7667033816877868E-2</v>
      </c>
      <c r="Q54" s="351"/>
      <c r="R54" s="590">
        <v>45787</v>
      </c>
      <c r="S54" s="589">
        <v>8.7100000000000009</v>
      </c>
      <c r="T54" s="591">
        <f t="shared" si="3"/>
        <v>-8.7958115183246033E-2</v>
      </c>
      <c r="U54" s="351"/>
      <c r="V54" s="590">
        <v>45787</v>
      </c>
      <c r="W54" s="589">
        <v>39.82</v>
      </c>
      <c r="X54" s="591">
        <f t="shared" si="4"/>
        <v>-4.64559386973179E-2</v>
      </c>
      <c r="Y54" s="351"/>
      <c r="Z54" s="590">
        <v>45935</v>
      </c>
      <c r="AA54" s="592">
        <v>6552.51</v>
      </c>
      <c r="AB54" s="591">
        <f t="shared" si="5"/>
        <v>-2.4312850759180882E-2</v>
      </c>
    </row>
    <row r="55" spans="2:28">
      <c r="B55" s="590" t="s">
        <v>459</v>
      </c>
      <c r="C55" s="589">
        <v>300.98</v>
      </c>
      <c r="D55" s="591">
        <f t="shared" si="0"/>
        <v>-1.3956231162363997E-2</v>
      </c>
      <c r="F55" s="590">
        <v>45928</v>
      </c>
      <c r="G55" s="589">
        <v>150.69</v>
      </c>
      <c r="H55" s="591">
        <f t="shared" si="6"/>
        <v>-1.3163064833005889E-2</v>
      </c>
      <c r="J55" s="594" t="s">
        <v>459</v>
      </c>
      <c r="K55" s="441">
        <v>68.48</v>
      </c>
      <c r="L55" s="591">
        <f t="shared" si="1"/>
        <v>5.4999229702665353E-2</v>
      </c>
      <c r="N55" s="590" t="s">
        <v>459</v>
      </c>
      <c r="O55" s="589">
        <v>426.71</v>
      </c>
      <c r="P55" s="591">
        <f t="shared" si="2"/>
        <v>-2.0745840504876711E-2</v>
      </c>
      <c r="Q55" s="351"/>
      <c r="R55" s="589" t="s">
        <v>459</v>
      </c>
      <c r="S55" s="589">
        <v>9.5500000000000007</v>
      </c>
      <c r="T55" s="591">
        <f t="shared" si="3"/>
        <v>3.6916395222584164E-2</v>
      </c>
      <c r="U55" s="351"/>
      <c r="V55" s="589" t="s">
        <v>459</v>
      </c>
      <c r="W55" s="589">
        <v>41.76</v>
      </c>
      <c r="X55" s="591">
        <f t="shared" si="4"/>
        <v>4.1916167664670656E-2</v>
      </c>
      <c r="Y55" s="351"/>
      <c r="Z55" s="590">
        <v>45928</v>
      </c>
      <c r="AA55" s="592">
        <v>6715.79</v>
      </c>
      <c r="AB55" s="591">
        <f t="shared" si="5"/>
        <v>1.08508812860304E-2</v>
      </c>
    </row>
    <row r="56" spans="2:28">
      <c r="B56" s="590" t="s">
        <v>460</v>
      </c>
      <c r="C56" s="589">
        <v>305.24</v>
      </c>
      <c r="D56" s="591">
        <f t="shared" si="0"/>
        <v>9.4582975064487762E-3</v>
      </c>
      <c r="F56" s="590">
        <v>45921</v>
      </c>
      <c r="G56" s="589">
        <v>152.69999999999999</v>
      </c>
      <c r="H56" s="591">
        <f t="shared" si="6"/>
        <v>4.8331731429355873E-2</v>
      </c>
      <c r="J56" s="594" t="s">
        <v>460</v>
      </c>
      <c r="K56" s="441">
        <v>64.91</v>
      </c>
      <c r="L56" s="591">
        <f t="shared" si="1"/>
        <v>1.8036386449184372E-2</v>
      </c>
      <c r="N56" s="590" t="s">
        <v>460</v>
      </c>
      <c r="O56" s="589">
        <v>435.75</v>
      </c>
      <c r="P56" s="591">
        <f t="shared" si="2"/>
        <v>1.6421357094539513E-2</v>
      </c>
      <c r="Q56" s="351"/>
      <c r="R56" s="589" t="s">
        <v>460</v>
      </c>
      <c r="S56" s="589">
        <v>9.2100000000000009</v>
      </c>
      <c r="T56" s="591">
        <f t="shared" si="3"/>
        <v>-1.2861736334405016E-2</v>
      </c>
      <c r="U56" s="351"/>
      <c r="V56" s="589" t="s">
        <v>460</v>
      </c>
      <c r="W56" s="589">
        <v>40.08</v>
      </c>
      <c r="X56" s="591">
        <f t="shared" si="4"/>
        <v>1.9328585961342792E-2</v>
      </c>
      <c r="Y56" s="351"/>
      <c r="Z56" s="590">
        <v>45921</v>
      </c>
      <c r="AA56" s="592">
        <v>6643.7</v>
      </c>
      <c r="AB56" s="591">
        <f t="shared" si="5"/>
        <v>-3.1000726251282362E-3</v>
      </c>
    </row>
    <row r="57" spans="2:28">
      <c r="B57" s="590" t="s">
        <v>461</v>
      </c>
      <c r="C57" s="589">
        <v>302.38</v>
      </c>
      <c r="D57" s="591">
        <f t="shared" si="0"/>
        <v>-9.8886705959396748E-3</v>
      </c>
      <c r="F57" s="590">
        <v>45914</v>
      </c>
      <c r="G57" s="589">
        <v>145.66</v>
      </c>
      <c r="H57" s="591">
        <f t="shared" si="6"/>
        <v>-2.5620442838986013E-2</v>
      </c>
      <c r="J57" s="594" t="s">
        <v>461</v>
      </c>
      <c r="K57" s="441">
        <v>63.76</v>
      </c>
      <c r="L57" s="591">
        <f t="shared" si="1"/>
        <v>1.3350286077558726E-2</v>
      </c>
      <c r="N57" s="590" t="s">
        <v>461</v>
      </c>
      <c r="O57" s="589">
        <v>428.71</v>
      </c>
      <c r="P57" s="591">
        <f t="shared" si="2"/>
        <v>-5.1631456697268097E-2</v>
      </c>
      <c r="Q57" s="351"/>
      <c r="R57" s="589" t="s">
        <v>461</v>
      </c>
      <c r="S57" s="589">
        <v>9.33</v>
      </c>
      <c r="T57" s="591">
        <f t="shared" si="3"/>
        <v>-3.4161490683229823E-2</v>
      </c>
      <c r="U57" s="351"/>
      <c r="V57" s="589" t="s">
        <v>461</v>
      </c>
      <c r="W57" s="589">
        <v>39.32</v>
      </c>
      <c r="X57" s="591">
        <f t="shared" si="4"/>
        <v>1.7861765467253266E-2</v>
      </c>
      <c r="Y57" s="351"/>
      <c r="Z57" s="590">
        <v>45914</v>
      </c>
      <c r="AA57" s="592">
        <v>6664.36</v>
      </c>
      <c r="AB57" s="591">
        <f t="shared" si="5"/>
        <v>1.216076448637593E-2</v>
      </c>
    </row>
    <row r="58" spans="2:28">
      <c r="B58" s="590">
        <v>45847</v>
      </c>
      <c r="C58" s="589">
        <v>305.39999999999998</v>
      </c>
      <c r="D58" s="591">
        <f t="shared" si="0"/>
        <v>-2.8564158025319752E-2</v>
      </c>
      <c r="F58" s="590">
        <v>45907</v>
      </c>
      <c r="G58" s="589">
        <v>149.49</v>
      </c>
      <c r="H58" s="591">
        <f t="shared" si="6"/>
        <v>3.3960437128233378E-2</v>
      </c>
      <c r="J58" s="594">
        <v>45847</v>
      </c>
      <c r="K58" s="441">
        <v>62.92</v>
      </c>
      <c r="L58" s="591">
        <f t="shared" si="1"/>
        <v>-2.8526148969888476E-3</v>
      </c>
      <c r="N58" s="590">
        <v>45847</v>
      </c>
      <c r="O58" s="589">
        <v>452.05</v>
      </c>
      <c r="P58" s="591">
        <f t="shared" si="2"/>
        <v>-2.5397236056313721E-2</v>
      </c>
      <c r="Q58" s="351"/>
      <c r="R58" s="590">
        <v>45847</v>
      </c>
      <c r="S58" s="589">
        <v>9.66</v>
      </c>
      <c r="T58" s="591">
        <f t="shared" si="3"/>
        <v>-6.4859632139399825E-2</v>
      </c>
      <c r="U58" s="351"/>
      <c r="V58" s="590">
        <v>45847</v>
      </c>
      <c r="W58" s="589">
        <v>38.630000000000003</v>
      </c>
      <c r="X58" s="591">
        <f t="shared" si="4"/>
        <v>-5.9181685338528967E-2</v>
      </c>
      <c r="Y58" s="351"/>
      <c r="Z58" s="590">
        <v>45907</v>
      </c>
      <c r="AA58" s="592">
        <v>6584.29</v>
      </c>
      <c r="AB58" s="591">
        <f t="shared" si="5"/>
        <v>1.5858983260047754E-2</v>
      </c>
    </row>
    <row r="59" spans="2:28">
      <c r="B59" s="590" t="s">
        <v>462</v>
      </c>
      <c r="C59" s="589">
        <v>314.38</v>
      </c>
      <c r="D59" s="591">
        <f t="shared" si="0"/>
        <v>2.6790840084198742E-3</v>
      </c>
      <c r="F59" s="590">
        <v>45900</v>
      </c>
      <c r="G59" s="589">
        <v>144.58000000000001</v>
      </c>
      <c r="H59" s="591">
        <f t="shared" si="6"/>
        <v>-1.6261822140572813E-2</v>
      </c>
      <c r="J59" s="594" t="s">
        <v>462</v>
      </c>
      <c r="K59" s="441">
        <v>63.1</v>
      </c>
      <c r="L59" s="591">
        <f t="shared" si="1"/>
        <v>-3.6317700931627339E-3</v>
      </c>
      <c r="N59" s="590" t="s">
        <v>462</v>
      </c>
      <c r="O59" s="589">
        <v>463.83</v>
      </c>
      <c r="P59" s="591">
        <f t="shared" si="2"/>
        <v>1.2066332096879684E-2</v>
      </c>
      <c r="Q59" s="351"/>
      <c r="R59" s="589" t="s">
        <v>462</v>
      </c>
      <c r="S59" s="589">
        <v>10.33</v>
      </c>
      <c r="T59" s="591">
        <f t="shared" si="3"/>
        <v>-2.6390197926484338E-2</v>
      </c>
      <c r="U59" s="351"/>
      <c r="V59" s="589" t="s">
        <v>462</v>
      </c>
      <c r="W59" s="589">
        <v>41.06</v>
      </c>
      <c r="X59" s="591">
        <f t="shared" si="4"/>
        <v>-2.5628856193640193E-2</v>
      </c>
      <c r="Y59" s="351"/>
      <c r="Z59" s="590">
        <v>45900</v>
      </c>
      <c r="AA59" s="592">
        <v>6481.5</v>
      </c>
      <c r="AB59" s="591">
        <f t="shared" si="5"/>
        <v>3.287793370545522E-3</v>
      </c>
    </row>
    <row r="60" spans="2:28">
      <c r="B60" s="590" t="s">
        <v>463</v>
      </c>
      <c r="C60" s="589">
        <v>313.54000000000002</v>
      </c>
      <c r="D60" s="591">
        <f t="shared" si="0"/>
        <v>-1.6875218900244127E-3</v>
      </c>
      <c r="F60" s="590">
        <v>45893</v>
      </c>
      <c r="G60" s="589">
        <v>146.97</v>
      </c>
      <c r="H60" s="591">
        <f t="shared" si="6"/>
        <v>-6.0864272671942166E-3</v>
      </c>
      <c r="J60" s="594" t="s">
        <v>463</v>
      </c>
      <c r="K60" s="441">
        <v>63.33</v>
      </c>
      <c r="L60" s="591">
        <f t="shared" si="1"/>
        <v>-1.1041009463722551E-3</v>
      </c>
      <c r="N60" s="590" t="s">
        <v>463</v>
      </c>
      <c r="O60" s="589">
        <v>458.3</v>
      </c>
      <c r="P60" s="591">
        <f t="shared" si="2"/>
        <v>1.6208785117186597E-2</v>
      </c>
      <c r="Q60" s="351"/>
      <c r="R60" s="589" t="s">
        <v>463</v>
      </c>
      <c r="S60" s="589">
        <v>10.61</v>
      </c>
      <c r="T60" s="591">
        <f t="shared" si="3"/>
        <v>-2.8195488721806106E-3</v>
      </c>
      <c r="U60" s="351"/>
      <c r="V60" s="589" t="s">
        <v>463</v>
      </c>
      <c r="W60" s="589">
        <v>42.14</v>
      </c>
      <c r="X60" s="591">
        <f t="shared" si="4"/>
        <v>-3.4372135655362013E-2</v>
      </c>
      <c r="Y60" s="351"/>
      <c r="Z60" s="590">
        <v>45893</v>
      </c>
      <c r="AA60" s="592">
        <v>6460.26</v>
      </c>
      <c r="AB60" s="591">
        <f t="shared" si="5"/>
        <v>-1.0283118212561781E-3</v>
      </c>
    </row>
    <row r="61" spans="2:28">
      <c r="B61" s="590" t="s">
        <v>464</v>
      </c>
      <c r="C61" s="589">
        <v>314.07</v>
      </c>
      <c r="D61" s="591">
        <f t="shared" si="0"/>
        <v>1.6638073349949822E-2</v>
      </c>
      <c r="F61" s="590">
        <v>45886</v>
      </c>
      <c r="G61" s="589">
        <v>147.87</v>
      </c>
      <c r="H61" s="591">
        <f t="shared" si="6"/>
        <v>-2.0920502092049986E-3</v>
      </c>
      <c r="J61" s="594" t="s">
        <v>464</v>
      </c>
      <c r="K61" s="441">
        <v>63.4</v>
      </c>
      <c r="L61" s="591">
        <f t="shared" si="1"/>
        <v>-2.8947771481084517E-2</v>
      </c>
      <c r="N61" s="590" t="s">
        <v>464</v>
      </c>
      <c r="O61" s="589">
        <v>450.99</v>
      </c>
      <c r="P61" s="591">
        <f t="shared" si="2"/>
        <v>-5.9832469086551487E-4</v>
      </c>
      <c r="Q61" s="351"/>
      <c r="R61" s="589" t="s">
        <v>464</v>
      </c>
      <c r="S61" s="589">
        <v>10.64</v>
      </c>
      <c r="T61" s="591">
        <f t="shared" si="3"/>
        <v>6.6225165562914245E-3</v>
      </c>
      <c r="U61" s="351"/>
      <c r="V61" s="589" t="s">
        <v>464</v>
      </c>
      <c r="W61" s="589">
        <v>43.64</v>
      </c>
      <c r="X61" s="591">
        <f t="shared" si="4"/>
        <v>-9.0826521344232747E-3</v>
      </c>
      <c r="Y61" s="351"/>
      <c r="Z61" s="590">
        <v>45886</v>
      </c>
      <c r="AA61" s="592">
        <v>6466.91</v>
      </c>
      <c r="AB61" s="591">
        <f t="shared" si="5"/>
        <v>2.65279543551733E-3</v>
      </c>
    </row>
    <row r="62" spans="2:28">
      <c r="B62" s="590">
        <v>45938</v>
      </c>
      <c r="C62" s="589">
        <v>308.93</v>
      </c>
      <c r="D62" s="591">
        <f t="shared" si="0"/>
        <v>1.139302668194464E-2</v>
      </c>
      <c r="F62" s="590">
        <v>45879</v>
      </c>
      <c r="G62" s="589">
        <v>148.18</v>
      </c>
      <c r="H62" s="591">
        <f t="shared" si="6"/>
        <v>4.8839184597961438E-2</v>
      </c>
      <c r="J62" s="594">
        <v>45938</v>
      </c>
      <c r="K62" s="441">
        <v>65.290000000000006</v>
      </c>
      <c r="L62" s="591">
        <f t="shared" si="1"/>
        <v>1.224806201550388E-2</v>
      </c>
      <c r="N62" s="590">
        <v>45938</v>
      </c>
      <c r="O62" s="589">
        <v>451.26</v>
      </c>
      <c r="P62" s="591">
        <f t="shared" si="2"/>
        <v>2.5497682028906343E-2</v>
      </c>
      <c r="Q62" s="351"/>
      <c r="R62" s="590">
        <v>45938</v>
      </c>
      <c r="S62" s="589">
        <v>10.57</v>
      </c>
      <c r="T62" s="591">
        <f t="shared" si="3"/>
        <v>4.757185332011904E-2</v>
      </c>
      <c r="U62" s="351"/>
      <c r="V62" s="590">
        <v>45938</v>
      </c>
      <c r="W62" s="589">
        <v>44.04</v>
      </c>
      <c r="X62" s="591">
        <f t="shared" si="4"/>
        <v>6.2741312741312782E-2</v>
      </c>
      <c r="Y62" s="351"/>
      <c r="Z62" s="590">
        <v>45879</v>
      </c>
      <c r="AA62" s="592">
        <v>6449.8</v>
      </c>
      <c r="AB62" s="591">
        <f t="shared" si="5"/>
        <v>9.4452574165226899E-3</v>
      </c>
    </row>
    <row r="63" spans="2:28">
      <c r="B63" s="590">
        <v>45724</v>
      </c>
      <c r="C63" s="589">
        <v>305.45</v>
      </c>
      <c r="D63" s="591">
        <f t="shared" si="0"/>
        <v>8.4519132358282789E-3</v>
      </c>
      <c r="F63" s="590">
        <v>45872</v>
      </c>
      <c r="G63" s="589">
        <v>141.28</v>
      </c>
      <c r="H63" s="591">
        <f t="shared" si="6"/>
        <v>-2.8068244358833372E-2</v>
      </c>
      <c r="J63" s="594">
        <v>45724</v>
      </c>
      <c r="K63" s="441">
        <v>64.5</v>
      </c>
      <c r="L63" s="591">
        <f t="shared" si="1"/>
        <v>-5.1749485445457211E-2</v>
      </c>
      <c r="N63" s="590">
        <v>45724</v>
      </c>
      <c r="O63" s="589">
        <v>440.04</v>
      </c>
      <c r="P63" s="591">
        <f t="shared" si="2"/>
        <v>-5.6052513031726647E-2</v>
      </c>
      <c r="Q63" s="351"/>
      <c r="R63" s="590">
        <v>45724</v>
      </c>
      <c r="S63" s="589">
        <v>10.09</v>
      </c>
      <c r="T63" s="591">
        <f t="shared" si="3"/>
        <v>1.3052208835341306E-2</v>
      </c>
      <c r="U63" s="351"/>
      <c r="V63" s="590">
        <v>45724</v>
      </c>
      <c r="W63" s="589">
        <v>41.44</v>
      </c>
      <c r="X63" s="591">
        <f t="shared" si="4"/>
        <v>-2.5399811853245691E-2</v>
      </c>
      <c r="Y63" s="351"/>
      <c r="Z63" s="590">
        <v>45872</v>
      </c>
      <c r="AA63" s="592">
        <v>6389.45</v>
      </c>
      <c r="AB63" s="591">
        <f t="shared" si="5"/>
        <v>2.4276972944897501E-2</v>
      </c>
    </row>
    <row r="64" spans="2:28">
      <c r="B64" s="590" t="s">
        <v>465</v>
      </c>
      <c r="C64" s="589">
        <v>302.89</v>
      </c>
      <c r="D64" s="591">
        <f t="shared" si="0"/>
        <v>1.4808858511743184E-2</v>
      </c>
      <c r="F64" s="590">
        <v>45865</v>
      </c>
      <c r="G64" s="589">
        <v>145.36000000000001</v>
      </c>
      <c r="H64" s="591">
        <f t="shared" si="6"/>
        <v>-9.1342876618948354E-3</v>
      </c>
      <c r="J64" s="594" t="s">
        <v>465</v>
      </c>
      <c r="K64" s="441">
        <v>68.02</v>
      </c>
      <c r="L64" s="591">
        <f t="shared" si="1"/>
        <v>-2.2139160437032901E-2</v>
      </c>
      <c r="N64" s="590" t="s">
        <v>465</v>
      </c>
      <c r="O64" s="589">
        <v>466.17</v>
      </c>
      <c r="P64" s="591">
        <f t="shared" si="2"/>
        <v>-3.987395217597256E-2</v>
      </c>
      <c r="Q64" s="351"/>
      <c r="R64" s="589" t="s">
        <v>465</v>
      </c>
      <c r="S64" s="589">
        <v>9.9600000000000009</v>
      </c>
      <c r="T64" s="591">
        <f t="shared" si="3"/>
        <v>-7.4349442379182062E-2</v>
      </c>
      <c r="U64" s="351"/>
      <c r="V64" s="589" t="s">
        <v>465</v>
      </c>
      <c r="W64" s="589">
        <v>42.52</v>
      </c>
      <c r="X64" s="591">
        <f t="shared" si="4"/>
        <v>-9.0675791274593576E-2</v>
      </c>
      <c r="Y64" s="351"/>
      <c r="Z64" s="590">
        <v>45865</v>
      </c>
      <c r="AA64" s="592">
        <v>6238.01</v>
      </c>
      <c r="AB64" s="591">
        <f t="shared" si="5"/>
        <v>-2.3577788073831041E-2</v>
      </c>
    </row>
    <row r="65" spans="2:28">
      <c r="B65" s="590" t="s">
        <v>466</v>
      </c>
      <c r="C65" s="589">
        <v>298.47000000000003</v>
      </c>
      <c r="D65" s="591">
        <f t="shared" si="0"/>
        <v>4.7126939778503463E-3</v>
      </c>
      <c r="F65" s="590">
        <v>45858</v>
      </c>
      <c r="G65" s="589">
        <v>146.69999999999999</v>
      </c>
      <c r="H65" s="591">
        <f t="shared" si="6"/>
        <v>-1.517185821697109E-2</v>
      </c>
      <c r="J65" s="594" t="s">
        <v>466</v>
      </c>
      <c r="K65" s="441">
        <v>69.56</v>
      </c>
      <c r="L65" s="591">
        <f t="shared" si="1"/>
        <v>6.0746311831068045E-3</v>
      </c>
      <c r="N65" s="590" t="s">
        <v>466</v>
      </c>
      <c r="O65" s="589">
        <v>485.53</v>
      </c>
      <c r="P65" s="591">
        <f t="shared" si="2"/>
        <v>4.2021676145509224E-2</v>
      </c>
      <c r="Q65" s="351"/>
      <c r="R65" s="589" t="s">
        <v>466</v>
      </c>
      <c r="S65" s="589">
        <v>10.76</v>
      </c>
      <c r="T65" s="591">
        <f t="shared" si="3"/>
        <v>2.7698185291308519E-2</v>
      </c>
      <c r="U65" s="351"/>
      <c r="V65" s="589" t="s">
        <v>466</v>
      </c>
      <c r="W65" s="589">
        <v>46.76</v>
      </c>
      <c r="X65" s="591">
        <f t="shared" si="4"/>
        <v>-0.1329501205266086</v>
      </c>
      <c r="Y65" s="351"/>
      <c r="Z65" s="590">
        <v>45858</v>
      </c>
      <c r="AA65" s="592">
        <v>6388.64</v>
      </c>
      <c r="AB65" s="591">
        <f t="shared" si="5"/>
        <v>1.4586797399945173E-2</v>
      </c>
    </row>
    <row r="66" spans="2:28">
      <c r="B66" s="590" t="s">
        <v>467</v>
      </c>
      <c r="C66" s="589">
        <v>297.07</v>
      </c>
      <c r="D66" s="591">
        <f t="shared" si="0"/>
        <v>-9.4695075189225042E-3</v>
      </c>
      <c r="F66" s="590">
        <v>45851</v>
      </c>
      <c r="G66" s="589">
        <v>148.96</v>
      </c>
      <c r="H66" s="591">
        <f t="shared" si="6"/>
        <v>-5.5410908605380005E-3</v>
      </c>
      <c r="J66" s="594" t="s">
        <v>467</v>
      </c>
      <c r="K66" s="441">
        <v>69.14</v>
      </c>
      <c r="L66" s="591">
        <f t="shared" si="1"/>
        <v>2.6730026730026779E-2</v>
      </c>
      <c r="N66" s="590" t="s">
        <v>467</v>
      </c>
      <c r="O66" s="589">
        <v>465.95</v>
      </c>
      <c r="P66" s="591">
        <f t="shared" si="2"/>
        <v>3.1648294867376858E-3</v>
      </c>
      <c r="Q66" s="351"/>
      <c r="R66" s="589" t="s">
        <v>467</v>
      </c>
      <c r="S66" s="589">
        <v>10.47</v>
      </c>
      <c r="T66" s="591">
        <f t="shared" si="3"/>
        <v>-4.9909255898366478E-2</v>
      </c>
      <c r="U66" s="351"/>
      <c r="V66" s="589" t="s">
        <v>467</v>
      </c>
      <c r="W66" s="589">
        <v>53.93</v>
      </c>
      <c r="X66" s="591">
        <f t="shared" si="4"/>
        <v>-3.6964285714285672E-2</v>
      </c>
      <c r="Y66" s="351"/>
      <c r="Z66" s="590">
        <v>45851</v>
      </c>
      <c r="AA66" s="592">
        <v>6296.79</v>
      </c>
      <c r="AB66" s="591">
        <f t="shared" si="5"/>
        <v>5.9171692160229217E-3</v>
      </c>
    </row>
    <row r="67" spans="2:28">
      <c r="B67" s="590">
        <v>45815</v>
      </c>
      <c r="C67" s="589">
        <v>299.91000000000003</v>
      </c>
      <c r="D67" s="591">
        <f t="shared" si="0"/>
        <v>1.9824537540805265E-2</v>
      </c>
      <c r="F67" s="590">
        <v>45844</v>
      </c>
      <c r="G67" s="589">
        <v>149.79</v>
      </c>
      <c r="H67" s="591">
        <f t="shared" si="6"/>
        <v>-1.4000000000000679E-3</v>
      </c>
      <c r="J67" s="594">
        <v>45815</v>
      </c>
      <c r="K67" s="441">
        <v>67.34</v>
      </c>
      <c r="L67" s="591">
        <f t="shared" si="1"/>
        <v>-2.2925130586186837E-2</v>
      </c>
      <c r="N67" s="590">
        <v>45815</v>
      </c>
      <c r="O67" s="589">
        <v>464.48</v>
      </c>
      <c r="P67" s="591">
        <f t="shared" si="2"/>
        <v>2.7201556902118673E-2</v>
      </c>
      <c r="Q67" s="351"/>
      <c r="R67" s="590">
        <v>45815</v>
      </c>
      <c r="S67" s="589">
        <v>11.02</v>
      </c>
      <c r="T67" s="591">
        <f t="shared" si="3"/>
        <v>-5.6506849315068552E-2</v>
      </c>
      <c r="U67" s="351"/>
      <c r="V67" s="590">
        <v>45815</v>
      </c>
      <c r="W67" s="589">
        <v>56</v>
      </c>
      <c r="X67" s="591">
        <f t="shared" si="4"/>
        <v>-1.8748904853688408E-2</v>
      </c>
      <c r="Y67" s="351"/>
      <c r="Z67" s="590">
        <v>45844</v>
      </c>
      <c r="AA67" s="592">
        <v>6259.75</v>
      </c>
      <c r="AB67" s="591">
        <f t="shared" si="5"/>
        <v>-3.1213421771362215E-3</v>
      </c>
    </row>
    <row r="68" spans="2:28">
      <c r="B68" s="590" t="s">
        <v>468</v>
      </c>
      <c r="C68" s="589">
        <v>294.08</v>
      </c>
      <c r="D68" s="591">
        <f t="shared" si="0"/>
        <v>8.6777568170124386E-3</v>
      </c>
      <c r="F68" s="590">
        <v>45837</v>
      </c>
      <c r="G68" s="589">
        <v>150</v>
      </c>
      <c r="H68" s="591">
        <f t="shared" si="6"/>
        <v>1.0713563776025836E-2</v>
      </c>
      <c r="J68" s="594" t="s">
        <v>468</v>
      </c>
      <c r="K68" s="441">
        <v>68.92</v>
      </c>
      <c r="L68" s="591">
        <f t="shared" si="1"/>
        <v>5.4628921193573099E-2</v>
      </c>
      <c r="N68" s="590" t="s">
        <v>468</v>
      </c>
      <c r="O68" s="589">
        <v>452.18</v>
      </c>
      <c r="P68" s="591">
        <f t="shared" si="2"/>
        <v>1.2970720670266056E-2</v>
      </c>
      <c r="Q68" s="351"/>
      <c r="R68" s="589" t="s">
        <v>468</v>
      </c>
      <c r="S68" s="589">
        <v>11.68</v>
      </c>
      <c r="T68" s="591">
        <f t="shared" si="3"/>
        <v>1.0380622837370179E-2</v>
      </c>
      <c r="U68" s="351"/>
      <c r="V68" s="589" t="s">
        <v>468</v>
      </c>
      <c r="W68" s="589">
        <v>57.07</v>
      </c>
      <c r="X68" s="591">
        <f t="shared" si="4"/>
        <v>3.6693914623070034E-2</v>
      </c>
      <c r="Y68" s="351"/>
      <c r="Z68" s="590">
        <v>45837</v>
      </c>
      <c r="AA68" s="592">
        <v>6279.35</v>
      </c>
      <c r="AB68" s="591">
        <f t="shared" si="5"/>
        <v>1.721671712778261E-2</v>
      </c>
    </row>
    <row r="69" spans="2:28">
      <c r="B69" s="590" t="s">
        <v>469</v>
      </c>
      <c r="C69" s="589">
        <v>291.55</v>
      </c>
      <c r="D69" s="591">
        <f t="shared" si="0"/>
        <v>1.4228066513602089E-2</v>
      </c>
      <c r="F69" s="590">
        <v>45830</v>
      </c>
      <c r="G69" s="589">
        <v>148.41</v>
      </c>
      <c r="H69" s="591">
        <f t="shared" si="6"/>
        <v>6.7237163814180878E-2</v>
      </c>
      <c r="J69" s="594" t="s">
        <v>469</v>
      </c>
      <c r="K69" s="441">
        <v>65.349999999999994</v>
      </c>
      <c r="L69" s="591">
        <f t="shared" si="1"/>
        <v>-1.0897532919630692E-2</v>
      </c>
      <c r="N69" s="590" t="s">
        <v>469</v>
      </c>
      <c r="O69" s="589">
        <v>446.39</v>
      </c>
      <c r="P69" s="591">
        <f t="shared" si="2"/>
        <v>-1.9898050438204029E-3</v>
      </c>
      <c r="Q69" s="351"/>
      <c r="R69" s="589" t="s">
        <v>469</v>
      </c>
      <c r="S69" s="589">
        <v>11.56</v>
      </c>
      <c r="T69" s="591">
        <f t="shared" si="3"/>
        <v>-3.746877601998333E-2</v>
      </c>
      <c r="U69" s="351"/>
      <c r="V69" s="589" t="s">
        <v>469</v>
      </c>
      <c r="W69" s="589">
        <v>55.05</v>
      </c>
      <c r="X69" s="591">
        <f t="shared" si="4"/>
        <v>4.3008715422508503E-2</v>
      </c>
      <c r="Y69" s="351"/>
      <c r="Z69" s="590">
        <v>45830</v>
      </c>
      <c r="AA69" s="592">
        <v>6173.07</v>
      </c>
      <c r="AB69" s="591">
        <f t="shared" si="5"/>
        <v>3.4389326791602892E-2</v>
      </c>
    </row>
    <row r="70" spans="2:28">
      <c r="B70" s="590" t="s">
        <v>470</v>
      </c>
      <c r="C70" s="589">
        <v>287.45999999999998</v>
      </c>
      <c r="D70" s="591">
        <f t="shared" si="0"/>
        <v>-4.7861945612931112E-2</v>
      </c>
      <c r="F70" s="590">
        <v>45823</v>
      </c>
      <c r="G70" s="589">
        <v>139.06</v>
      </c>
      <c r="H70" s="591">
        <f t="shared" si="6"/>
        <v>-3.4305555555555589E-2</v>
      </c>
      <c r="J70" s="594" t="s">
        <v>470</v>
      </c>
      <c r="K70" s="441">
        <v>66.069999999999993</v>
      </c>
      <c r="L70" s="591">
        <f t="shared" si="1"/>
        <v>-1.7692536425810479E-2</v>
      </c>
      <c r="N70" s="590" t="s">
        <v>470</v>
      </c>
      <c r="O70" s="589">
        <v>447.28</v>
      </c>
      <c r="P70" s="591">
        <f t="shared" si="2"/>
        <v>-1.0770761915293581E-2</v>
      </c>
      <c r="Q70" s="351"/>
      <c r="R70" s="589" t="s">
        <v>470</v>
      </c>
      <c r="S70" s="589">
        <v>12.01</v>
      </c>
      <c r="T70" s="591">
        <f t="shared" si="3"/>
        <v>7.4239713774597593E-2</v>
      </c>
      <c r="U70" s="351"/>
      <c r="V70" s="589" t="s">
        <v>470</v>
      </c>
      <c r="W70" s="589">
        <v>52.78</v>
      </c>
      <c r="X70" s="591">
        <f t="shared" si="4"/>
        <v>5.0557324840764251E-2</v>
      </c>
      <c r="Y70" s="351"/>
      <c r="Z70" s="590">
        <v>45823</v>
      </c>
      <c r="AA70" s="592">
        <v>5967.84</v>
      </c>
      <c r="AB70" s="591">
        <f t="shared" si="5"/>
        <v>-1.5275298353514266E-3</v>
      </c>
    </row>
    <row r="71" spans="2:28">
      <c r="B71" s="590">
        <v>45875</v>
      </c>
      <c r="C71" s="589">
        <v>301.91000000000003</v>
      </c>
      <c r="D71" s="591">
        <f t="shared" si="0"/>
        <v>-1.773165018219669E-2</v>
      </c>
      <c r="F71" s="590">
        <v>45816</v>
      </c>
      <c r="G71" s="589">
        <v>144</v>
      </c>
      <c r="H71" s="591">
        <f t="shared" si="6"/>
        <v>-5.7308568666714077E-3</v>
      </c>
      <c r="J71" s="594">
        <v>45875</v>
      </c>
      <c r="K71" s="441">
        <v>67.260000000000005</v>
      </c>
      <c r="L71" s="591">
        <f t="shared" si="1"/>
        <v>-5.6661991584852633E-2</v>
      </c>
      <c r="N71" s="590">
        <v>45875</v>
      </c>
      <c r="O71" s="589">
        <v>452.15</v>
      </c>
      <c r="P71" s="591">
        <f t="shared" si="2"/>
        <v>-3.4300847910125776E-2</v>
      </c>
      <c r="Q71" s="351"/>
      <c r="R71" s="590">
        <v>45875</v>
      </c>
      <c r="S71" s="589">
        <v>11.18</v>
      </c>
      <c r="T71" s="591">
        <f t="shared" si="3"/>
        <v>-4.3627031650983694E-2</v>
      </c>
      <c r="U71" s="351"/>
      <c r="V71" s="590">
        <v>45875</v>
      </c>
      <c r="W71" s="589">
        <v>50.24</v>
      </c>
      <c r="X71" s="591">
        <f t="shared" si="4"/>
        <v>-4.3047619047619001E-2</v>
      </c>
      <c r="Y71" s="351"/>
      <c r="Z71" s="590">
        <v>45816</v>
      </c>
      <c r="AA71" s="592">
        <v>5976.97</v>
      </c>
      <c r="AB71" s="591">
        <f t="shared" si="5"/>
        <v>-3.8980994473664099E-3</v>
      </c>
    </row>
    <row r="72" spans="2:28">
      <c r="B72" s="590">
        <v>45663</v>
      </c>
      <c r="C72" s="589">
        <v>307.36</v>
      </c>
      <c r="D72" s="591">
        <f t="shared" si="0"/>
        <v>-2.0678668153576552E-2</v>
      </c>
      <c r="F72" s="590">
        <v>45809</v>
      </c>
      <c r="G72" s="589">
        <v>144.83000000000001</v>
      </c>
      <c r="H72" s="591">
        <f t="shared" si="6"/>
        <v>6.1831318604974594E-3</v>
      </c>
      <c r="J72" s="594">
        <v>45663</v>
      </c>
      <c r="K72" s="441">
        <v>71.3</v>
      </c>
      <c r="L72" s="591">
        <f t="shared" si="1"/>
        <v>-1.5404005041310675E-3</v>
      </c>
      <c r="N72" s="590">
        <v>45663</v>
      </c>
      <c r="O72" s="589">
        <v>468.21</v>
      </c>
      <c r="P72" s="591">
        <f t="shared" si="2"/>
        <v>-1.1839939217424322E-2</v>
      </c>
      <c r="Q72" s="351"/>
      <c r="R72" s="590">
        <v>45663</v>
      </c>
      <c r="S72" s="589">
        <v>11.69</v>
      </c>
      <c r="T72" s="591">
        <f t="shared" si="3"/>
        <v>2.5438596491228038E-2</v>
      </c>
      <c r="U72" s="351"/>
      <c r="V72" s="590">
        <v>45663</v>
      </c>
      <c r="W72" s="589">
        <v>52.5</v>
      </c>
      <c r="X72" s="591">
        <f t="shared" si="4"/>
        <v>4.8322683706070402E-2</v>
      </c>
      <c r="Y72" s="351"/>
      <c r="Z72" s="590">
        <v>45809</v>
      </c>
      <c r="AA72" s="592">
        <v>6000.36</v>
      </c>
      <c r="AB72" s="591">
        <f t="shared" si="5"/>
        <v>1.4999095013439545E-2</v>
      </c>
    </row>
    <row r="73" spans="2:28">
      <c r="B73" s="590" t="s">
        <v>471</v>
      </c>
      <c r="C73" s="589">
        <v>313.85000000000002</v>
      </c>
      <c r="D73" s="591">
        <f t="shared" si="0"/>
        <v>-2.2888387322376191E-3</v>
      </c>
      <c r="F73" s="590">
        <v>45802</v>
      </c>
      <c r="G73" s="589">
        <v>143.94</v>
      </c>
      <c r="H73" s="591">
        <f t="shared" si="6"/>
        <v>-1.0381574424200735E-2</v>
      </c>
      <c r="J73" s="594" t="s">
        <v>471</v>
      </c>
      <c r="K73" s="441">
        <v>71.41</v>
      </c>
      <c r="L73" s="591">
        <f t="shared" si="1"/>
        <v>1.9123733409447841E-2</v>
      </c>
      <c r="N73" s="590" t="s">
        <v>471</v>
      </c>
      <c r="O73" s="589">
        <v>473.82</v>
      </c>
      <c r="P73" s="591">
        <f t="shared" si="2"/>
        <v>-1.3758508003247072E-2</v>
      </c>
      <c r="Q73" s="351"/>
      <c r="R73" s="589" t="s">
        <v>471</v>
      </c>
      <c r="S73" s="589">
        <v>11.4</v>
      </c>
      <c r="T73" s="591">
        <f t="shared" si="3"/>
        <v>-3.4965034965034336E-3</v>
      </c>
      <c r="U73" s="351"/>
      <c r="V73" s="589" t="s">
        <v>471</v>
      </c>
      <c r="W73" s="589">
        <v>50.08</v>
      </c>
      <c r="X73" s="591">
        <f t="shared" si="4"/>
        <v>-1.0863124629666321E-2</v>
      </c>
      <c r="Y73" s="351"/>
      <c r="Z73" s="590">
        <v>45802</v>
      </c>
      <c r="AA73" s="592">
        <v>5911.69</v>
      </c>
      <c r="AB73" s="591">
        <f t="shared" si="5"/>
        <v>1.8761567651589983E-2</v>
      </c>
    </row>
    <row r="74" spans="2:28">
      <c r="B74" s="590" t="s">
        <v>472</v>
      </c>
      <c r="C74" s="589">
        <v>314.57</v>
      </c>
      <c r="D74" s="591">
        <f t="shared" si="0"/>
        <v>-1.2680079093562724E-2</v>
      </c>
      <c r="F74" s="590">
        <v>45795</v>
      </c>
      <c r="G74" s="589">
        <v>145.44999999999999</v>
      </c>
      <c r="H74" s="591">
        <f t="shared" si="6"/>
        <v>-1.7694333761059E-2</v>
      </c>
      <c r="J74" s="594" t="s">
        <v>472</v>
      </c>
      <c r="K74" s="441">
        <v>70.069999999999993</v>
      </c>
      <c r="L74" s="591">
        <f t="shared" si="1"/>
        <v>-7.7881619937696378E-3</v>
      </c>
      <c r="N74" s="590" t="s">
        <v>472</v>
      </c>
      <c r="O74" s="589">
        <v>480.43</v>
      </c>
      <c r="P74" s="591">
        <f t="shared" si="2"/>
        <v>-2.9532370467629576E-2</v>
      </c>
      <c r="Q74" s="351"/>
      <c r="R74" s="589" t="s">
        <v>472</v>
      </c>
      <c r="S74" s="589">
        <v>11.44</v>
      </c>
      <c r="T74" s="591">
        <f t="shared" si="3"/>
        <v>-6.6884176182708033E-2</v>
      </c>
      <c r="U74" s="351"/>
      <c r="V74" s="589" t="s">
        <v>472</v>
      </c>
      <c r="W74" s="589">
        <v>50.63</v>
      </c>
      <c r="X74" s="591">
        <f t="shared" si="4"/>
        <v>-3.2301223241590127E-2</v>
      </c>
      <c r="Y74" s="351"/>
      <c r="Z74" s="590">
        <v>45795</v>
      </c>
      <c r="AA74" s="592">
        <v>5802.82</v>
      </c>
      <c r="AB74" s="591">
        <f t="shared" si="5"/>
        <v>-2.610776754755495E-2</v>
      </c>
    </row>
    <row r="75" spans="2:28">
      <c r="B75" s="590">
        <v>45966</v>
      </c>
      <c r="C75" s="589">
        <v>318.61</v>
      </c>
      <c r="D75" s="591">
        <f t="shared" si="0"/>
        <v>1.5716653914817691E-2</v>
      </c>
      <c r="F75" s="590">
        <v>45788</v>
      </c>
      <c r="G75" s="589">
        <v>148.07</v>
      </c>
      <c r="H75" s="591">
        <f t="shared" si="6"/>
        <v>6.3889077686398732E-3</v>
      </c>
      <c r="J75" s="594">
        <v>45966</v>
      </c>
      <c r="K75" s="441">
        <v>70.62</v>
      </c>
      <c r="L75" s="591">
        <f t="shared" si="1"/>
        <v>5.1988678683152267E-2</v>
      </c>
      <c r="N75" s="590">
        <v>45966</v>
      </c>
      <c r="O75" s="589">
        <v>495.05</v>
      </c>
      <c r="P75" s="591">
        <f t="shared" si="2"/>
        <v>3.372311547295892E-2</v>
      </c>
      <c r="Q75" s="351"/>
      <c r="R75" s="590">
        <v>45966</v>
      </c>
      <c r="S75" s="589">
        <v>12.26</v>
      </c>
      <c r="T75" s="591">
        <f t="shared" si="3"/>
        <v>2.1666666666666723E-2</v>
      </c>
      <c r="U75" s="351"/>
      <c r="V75" s="590">
        <v>45966</v>
      </c>
      <c r="W75" s="589">
        <v>52.32</v>
      </c>
      <c r="X75" s="591">
        <f t="shared" si="4"/>
        <v>5.2292839903459454E-2</v>
      </c>
      <c r="Y75" s="351"/>
      <c r="Z75" s="590">
        <v>45788</v>
      </c>
      <c r="AA75" s="592">
        <v>5958.38</v>
      </c>
      <c r="AB75" s="591">
        <f t="shared" si="5"/>
        <v>5.2734054075064929E-2</v>
      </c>
    </row>
    <row r="76" spans="2:28">
      <c r="B76" s="590">
        <v>45752</v>
      </c>
      <c r="C76" s="589">
        <v>313.68</v>
      </c>
      <c r="D76" s="591">
        <f t="shared" si="0"/>
        <v>5.5135273753046388E-3</v>
      </c>
      <c r="F76" s="590">
        <v>45781</v>
      </c>
      <c r="G76" s="589">
        <v>147.13</v>
      </c>
      <c r="H76" s="591">
        <f t="shared" si="6"/>
        <v>-1.3477269679495696E-2</v>
      </c>
      <c r="J76" s="594">
        <v>45752</v>
      </c>
      <c r="K76" s="441">
        <v>67.13</v>
      </c>
      <c r="L76" s="591">
        <f t="shared" si="1"/>
        <v>7.6553587511256627E-3</v>
      </c>
      <c r="N76" s="590">
        <v>45752</v>
      </c>
      <c r="O76" s="589">
        <v>478.9</v>
      </c>
      <c r="P76" s="591">
        <f t="shared" si="2"/>
        <v>-1.1782670601101941E-2</v>
      </c>
      <c r="Q76" s="351"/>
      <c r="R76" s="590">
        <v>45752</v>
      </c>
      <c r="S76" s="589">
        <v>12</v>
      </c>
      <c r="T76" s="591">
        <f t="shared" si="3"/>
        <v>-4.3824701195219196E-2</v>
      </c>
      <c r="U76" s="351"/>
      <c r="V76" s="590">
        <v>45752</v>
      </c>
      <c r="W76" s="589">
        <v>49.72</v>
      </c>
      <c r="X76" s="591">
        <f t="shared" si="4"/>
        <v>-3.5686578743211905E-2</v>
      </c>
      <c r="Y76" s="351"/>
      <c r="Z76" s="590">
        <v>45781</v>
      </c>
      <c r="AA76" s="592">
        <v>5659.91</v>
      </c>
      <c r="AB76" s="591">
        <f t="shared" si="5"/>
        <v>-4.7057416730705848E-3</v>
      </c>
    </row>
    <row r="77" spans="2:28">
      <c r="B77" s="590" t="s">
        <v>473</v>
      </c>
      <c r="C77" s="589">
        <v>311.95999999999998</v>
      </c>
      <c r="D77" s="591">
        <f t="shared" si="0"/>
        <v>-1.5091242028162033E-2</v>
      </c>
      <c r="F77" s="590">
        <v>45774</v>
      </c>
      <c r="G77" s="589">
        <v>149.13999999999999</v>
      </c>
      <c r="H77" s="591">
        <f t="shared" si="6"/>
        <v>1.2491513917175734E-2</v>
      </c>
      <c r="J77" s="594" t="s">
        <v>473</v>
      </c>
      <c r="K77" s="441">
        <v>66.62</v>
      </c>
      <c r="L77" s="591">
        <f t="shared" si="1"/>
        <v>5.9141494435612119E-2</v>
      </c>
      <c r="N77" s="590" t="s">
        <v>473</v>
      </c>
      <c r="O77" s="589">
        <v>484.61</v>
      </c>
      <c r="P77" s="591">
        <f t="shared" si="2"/>
        <v>-6.0913080930308228E-3</v>
      </c>
      <c r="Q77" s="351"/>
      <c r="R77" s="589" t="s">
        <v>473</v>
      </c>
      <c r="S77" s="589">
        <v>12.55</v>
      </c>
      <c r="T77" s="591">
        <f t="shared" si="3"/>
        <v>-1.7996870109546093E-2</v>
      </c>
      <c r="U77" s="351"/>
      <c r="V77" s="589" t="s">
        <v>473</v>
      </c>
      <c r="W77" s="589">
        <v>51.56</v>
      </c>
      <c r="X77" s="591">
        <f t="shared" si="4"/>
        <v>-4.2487446890691061E-3</v>
      </c>
      <c r="Y77" s="351"/>
      <c r="Z77" s="590">
        <v>45774</v>
      </c>
      <c r="AA77" s="592">
        <v>5686.67</v>
      </c>
      <c r="AB77" s="591">
        <f t="shared" si="5"/>
        <v>2.9222418695397989E-2</v>
      </c>
    </row>
    <row r="78" spans="2:28">
      <c r="B78" s="590" t="s">
        <v>474</v>
      </c>
      <c r="C78" s="589">
        <v>316.74</v>
      </c>
      <c r="D78" s="591">
        <f t="shared" si="0"/>
        <v>1.7475104400899388E-2</v>
      </c>
      <c r="F78" s="590">
        <v>45767</v>
      </c>
      <c r="G78" s="589">
        <v>147.30000000000001</v>
      </c>
      <c r="H78" s="591">
        <f t="shared" si="6"/>
        <v>2.7841741678878096E-2</v>
      </c>
      <c r="J78" s="594" t="s">
        <v>474</v>
      </c>
      <c r="K78" s="441">
        <v>62.9</v>
      </c>
      <c r="L78" s="591">
        <f t="shared" si="1"/>
        <v>-5.0616893388167883E-3</v>
      </c>
      <c r="N78" s="590" t="s">
        <v>474</v>
      </c>
      <c r="O78" s="589">
        <v>487.58</v>
      </c>
      <c r="P78" s="591">
        <f t="shared" si="2"/>
        <v>4.4650126408707136E-2</v>
      </c>
      <c r="Q78" s="351"/>
      <c r="R78" s="589" t="s">
        <v>474</v>
      </c>
      <c r="S78" s="589">
        <v>12.78</v>
      </c>
      <c r="T78" s="591">
        <f t="shared" si="3"/>
        <v>7.8864353312302349E-3</v>
      </c>
      <c r="U78" s="351"/>
      <c r="V78" s="589" t="s">
        <v>474</v>
      </c>
      <c r="W78" s="589">
        <v>51.78</v>
      </c>
      <c r="X78" s="591">
        <f t="shared" si="4"/>
        <v>7.4942910525223061E-2</v>
      </c>
      <c r="Y78" s="351"/>
      <c r="Z78" s="590">
        <v>45767</v>
      </c>
      <c r="AA78" s="592">
        <v>5525.21</v>
      </c>
      <c r="AB78" s="591">
        <f t="shared" si="5"/>
        <v>4.5906449353550371E-2</v>
      </c>
    </row>
    <row r="79" spans="2:28">
      <c r="B79" s="590" t="s">
        <v>475</v>
      </c>
      <c r="C79" s="589">
        <v>311.3</v>
      </c>
      <c r="D79" s="591">
        <f t="shared" si="0"/>
        <v>4.5175863181672327E-3</v>
      </c>
      <c r="F79" s="590">
        <v>45760</v>
      </c>
      <c r="G79" s="589">
        <v>143.31</v>
      </c>
      <c r="H79" s="591">
        <f t="shared" si="6"/>
        <v>-1.1655172413793102E-2</v>
      </c>
      <c r="J79" s="594" t="s">
        <v>475</v>
      </c>
      <c r="K79" s="441">
        <v>63.22</v>
      </c>
      <c r="L79" s="591">
        <f t="shared" si="1"/>
        <v>5.2472571155985914E-3</v>
      </c>
      <c r="N79" s="590" t="s">
        <v>475</v>
      </c>
      <c r="O79" s="589">
        <v>466.74</v>
      </c>
      <c r="P79" s="591">
        <f t="shared" si="2"/>
        <v>9.8881364000260596E-3</v>
      </c>
      <c r="Q79" s="351"/>
      <c r="R79" s="589" t="s">
        <v>475</v>
      </c>
      <c r="S79" s="589">
        <v>12.68</v>
      </c>
      <c r="T79" s="591">
        <f t="shared" si="3"/>
        <v>-8.6004691164972558E-3</v>
      </c>
      <c r="U79" s="351"/>
      <c r="V79" s="589" t="s">
        <v>475</v>
      </c>
      <c r="W79" s="589">
        <v>48.17</v>
      </c>
      <c r="X79" s="591">
        <f t="shared" si="4"/>
        <v>-3.1953376205787754E-2</v>
      </c>
      <c r="Y79" s="351"/>
      <c r="Z79" s="590">
        <v>45760</v>
      </c>
      <c r="AA79" s="592">
        <v>5282.7</v>
      </c>
      <c r="AB79" s="591">
        <f t="shared" si="5"/>
        <v>-1.5039079979714209E-2</v>
      </c>
    </row>
    <row r="80" spans="2:28">
      <c r="B80" s="590">
        <v>45812</v>
      </c>
      <c r="C80" s="589">
        <v>309.89999999999998</v>
      </c>
      <c r="D80" s="591">
        <f t="shared" si="0"/>
        <v>3.2621372163539997E-2</v>
      </c>
      <c r="F80" s="590">
        <v>45753</v>
      </c>
      <c r="G80" s="589">
        <v>145</v>
      </c>
      <c r="H80" s="591">
        <f t="shared" si="6"/>
        <v>-1.9143610904417296E-2</v>
      </c>
      <c r="J80" s="594">
        <v>45812</v>
      </c>
      <c r="K80" s="441">
        <v>62.89</v>
      </c>
      <c r="L80" s="591">
        <f t="shared" si="1"/>
        <v>-1.0852469329977965E-2</v>
      </c>
      <c r="N80" s="590">
        <v>45812</v>
      </c>
      <c r="O80" s="589">
        <v>462.17</v>
      </c>
      <c r="P80" s="591">
        <f t="shared" si="2"/>
        <v>4.0431327525269678E-2</v>
      </c>
      <c r="Q80" s="351"/>
      <c r="R80" s="590">
        <v>45812</v>
      </c>
      <c r="S80" s="589">
        <v>12.79</v>
      </c>
      <c r="T80" s="591">
        <f t="shared" si="3"/>
        <v>-3.8345864661654239E-2</v>
      </c>
      <c r="U80" s="351"/>
      <c r="V80" s="590">
        <v>45812</v>
      </c>
      <c r="W80" s="589">
        <v>49.76</v>
      </c>
      <c r="X80" s="591">
        <f t="shared" si="4"/>
        <v>5.2230915626982455E-2</v>
      </c>
      <c r="Y80" s="351"/>
      <c r="Z80" s="590">
        <v>45753</v>
      </c>
      <c r="AA80" s="592">
        <v>5363.36</v>
      </c>
      <c r="AB80" s="591">
        <f t="shared" si="5"/>
        <v>5.7011320278749889E-2</v>
      </c>
    </row>
    <row r="81" spans="2:28">
      <c r="B81" s="590" t="s">
        <v>476</v>
      </c>
      <c r="C81" s="589">
        <v>300.11</v>
      </c>
      <c r="D81" s="591">
        <f t="shared" ref="D81:D144" si="7">C81/C82-1</f>
        <v>-2.2729492982513144E-2</v>
      </c>
      <c r="F81" s="590">
        <v>45746</v>
      </c>
      <c r="G81" s="589">
        <v>147.83000000000001</v>
      </c>
      <c r="H81" s="591">
        <f t="shared" si="6"/>
        <v>-5.0911658962506268E-2</v>
      </c>
      <c r="J81" s="594" t="s">
        <v>476</v>
      </c>
      <c r="K81" s="441">
        <v>63.58</v>
      </c>
      <c r="L81" s="591">
        <f t="shared" ref="L81:L144" si="8">K81/K82-1</f>
        <v>-1.456912585244885E-2</v>
      </c>
      <c r="N81" s="590" t="s">
        <v>476</v>
      </c>
      <c r="O81" s="589">
        <v>444.21</v>
      </c>
      <c r="P81" s="591">
        <f t="shared" ref="P81:P144" si="9">O81/O82-1</f>
        <v>-6.5083199141170445E-3</v>
      </c>
      <c r="Q81" s="351"/>
      <c r="R81" s="589" t="s">
        <v>476</v>
      </c>
      <c r="S81" s="589">
        <v>13.3</v>
      </c>
      <c r="T81" s="591">
        <f t="shared" ref="T81:T144" si="10">S81/S82-1</f>
        <v>-9.0909090909090939E-2</v>
      </c>
      <c r="U81" s="351"/>
      <c r="V81" s="589" t="s">
        <v>476</v>
      </c>
      <c r="W81" s="589">
        <v>47.29</v>
      </c>
      <c r="X81" s="591">
        <f t="shared" ref="X81:X144" si="11">W81/W82-1</f>
        <v>-5.2494490082147793E-2</v>
      </c>
      <c r="Y81" s="351"/>
      <c r="Z81" s="590">
        <v>45746</v>
      </c>
      <c r="AA81" s="592">
        <v>5074.08</v>
      </c>
      <c r="AB81" s="591">
        <f t="shared" ref="AB81:AB144" si="12">AA81/AA82-1</f>
        <v>-9.0819826050808627E-2</v>
      </c>
    </row>
    <row r="82" spans="2:28">
      <c r="B82" s="590" t="s">
        <v>477</v>
      </c>
      <c r="C82" s="589">
        <v>307.08999999999997</v>
      </c>
      <c r="D82" s="591">
        <f t="shared" si="7"/>
        <v>5.4020429544263671E-3</v>
      </c>
      <c r="F82" s="590">
        <v>45739</v>
      </c>
      <c r="G82" s="589">
        <v>155.76</v>
      </c>
      <c r="H82" s="591">
        <f t="shared" ref="H82:H145" si="13">G82/G83-1</f>
        <v>-6.3157894736842746E-3</v>
      </c>
      <c r="J82" s="594" t="s">
        <v>477</v>
      </c>
      <c r="K82" s="441">
        <v>64.52</v>
      </c>
      <c r="L82" s="591">
        <f t="shared" si="8"/>
        <v>-3.7014925373134333E-2</v>
      </c>
      <c r="N82" s="590" t="s">
        <v>477</v>
      </c>
      <c r="O82" s="589">
        <v>447.12</v>
      </c>
      <c r="P82" s="591">
        <f t="shared" si="9"/>
        <v>-3.0949284785435571E-2</v>
      </c>
      <c r="Q82" s="351"/>
      <c r="R82" s="589" t="s">
        <v>477</v>
      </c>
      <c r="S82" s="589">
        <v>14.63</v>
      </c>
      <c r="T82" s="591">
        <f t="shared" si="10"/>
        <v>-4.1284403669724745E-2</v>
      </c>
      <c r="U82" s="351"/>
      <c r="V82" s="589" t="s">
        <v>477</v>
      </c>
      <c r="W82" s="589">
        <v>49.91</v>
      </c>
      <c r="X82" s="591">
        <f t="shared" si="11"/>
        <v>2.8436018957345821E-2</v>
      </c>
      <c r="Y82" s="351"/>
      <c r="Z82" s="590">
        <v>45739</v>
      </c>
      <c r="AA82" s="592">
        <v>5580.94</v>
      </c>
      <c r="AB82" s="591">
        <f t="shared" si="12"/>
        <v>-1.5283472958380839E-2</v>
      </c>
    </row>
    <row r="83" spans="2:28">
      <c r="B83" s="590" t="s">
        <v>478</v>
      </c>
      <c r="C83" s="589">
        <v>305.44</v>
      </c>
      <c r="D83" s="591">
        <f t="shared" si="7"/>
        <v>1.8710602674849142E-2</v>
      </c>
      <c r="F83" s="590">
        <v>45732</v>
      </c>
      <c r="G83" s="589">
        <v>156.75</v>
      </c>
      <c r="H83" s="591">
        <f t="shared" si="13"/>
        <v>1.096420509513063E-2</v>
      </c>
      <c r="J83" s="594" t="s">
        <v>478</v>
      </c>
      <c r="K83" s="441">
        <v>67</v>
      </c>
      <c r="L83" s="591">
        <f t="shared" si="8"/>
        <v>1.4229488343929786E-2</v>
      </c>
      <c r="N83" s="590" t="s">
        <v>478</v>
      </c>
      <c r="O83" s="589">
        <v>461.4</v>
      </c>
      <c r="P83" s="591">
        <f t="shared" si="9"/>
        <v>8.4167489073734725E-2</v>
      </c>
      <c r="Q83" s="351"/>
      <c r="R83" s="589" t="s">
        <v>478</v>
      </c>
      <c r="S83" s="589">
        <v>15.26</v>
      </c>
      <c r="T83" s="591">
        <f t="shared" si="10"/>
        <v>-5.8631921824103816E-3</v>
      </c>
      <c r="U83" s="351"/>
      <c r="V83" s="589" t="s">
        <v>478</v>
      </c>
      <c r="W83" s="589">
        <v>48.53</v>
      </c>
      <c r="X83" s="591">
        <f t="shared" si="11"/>
        <v>-2.9982010793523917E-2</v>
      </c>
      <c r="Y83" s="351"/>
      <c r="Z83" s="590">
        <v>45732</v>
      </c>
      <c r="AA83" s="592">
        <v>5667.56</v>
      </c>
      <c r="AB83" s="591">
        <f t="shared" si="12"/>
        <v>5.0754219764708175E-3</v>
      </c>
    </row>
    <row r="84" spans="2:28">
      <c r="B84" s="590">
        <v>45903</v>
      </c>
      <c r="C84" s="589">
        <v>299.83</v>
      </c>
      <c r="D84" s="591">
        <f t="shared" si="7"/>
        <v>-6.6793239752248823E-2</v>
      </c>
      <c r="F84" s="590">
        <v>45725</v>
      </c>
      <c r="G84" s="589">
        <v>155.05000000000001</v>
      </c>
      <c r="H84" s="591">
        <f t="shared" si="13"/>
        <v>-4.6022272811173215E-2</v>
      </c>
      <c r="J84" s="594">
        <v>45903</v>
      </c>
      <c r="K84" s="441">
        <v>66.06</v>
      </c>
      <c r="L84" s="591">
        <f t="shared" si="8"/>
        <v>-5.0452781371280619E-2</v>
      </c>
      <c r="N84" s="590">
        <v>45903</v>
      </c>
      <c r="O84" s="589">
        <v>425.58</v>
      </c>
      <c r="P84" s="591">
        <f t="shared" si="9"/>
        <v>-9.8442961550683217E-2</v>
      </c>
      <c r="Q84" s="351"/>
      <c r="R84" s="590">
        <v>45903</v>
      </c>
      <c r="S84" s="589">
        <v>15.35</v>
      </c>
      <c r="T84" s="591">
        <f t="shared" si="10"/>
        <v>-1.1590470057952329E-2</v>
      </c>
      <c r="U84" s="351"/>
      <c r="V84" s="590">
        <v>45903</v>
      </c>
      <c r="W84" s="589">
        <v>50.03</v>
      </c>
      <c r="X84" s="591">
        <f t="shared" si="11"/>
        <v>-3.9816842524387219E-3</v>
      </c>
      <c r="Y84" s="351"/>
      <c r="Z84" s="590">
        <v>45725</v>
      </c>
      <c r="AA84" s="592">
        <v>5638.94</v>
      </c>
      <c r="AB84" s="591">
        <f t="shared" si="12"/>
        <v>-2.2747911684170452E-2</v>
      </c>
    </row>
    <row r="85" spans="2:28">
      <c r="B85" s="590">
        <v>45691</v>
      </c>
      <c r="C85" s="589">
        <v>321.29000000000002</v>
      </c>
      <c r="D85" s="591">
        <f t="shared" si="7"/>
        <v>4.2032886842020112E-2</v>
      </c>
      <c r="F85" s="590">
        <v>45718</v>
      </c>
      <c r="G85" s="589">
        <v>162.53</v>
      </c>
      <c r="H85" s="591">
        <f t="shared" si="13"/>
        <v>3.9393745603376606E-2</v>
      </c>
      <c r="J85" s="594">
        <v>45691</v>
      </c>
      <c r="K85" s="441">
        <v>69.569999999999993</v>
      </c>
      <c r="L85" s="591">
        <f t="shared" si="8"/>
        <v>6.6206896551723959E-2</v>
      </c>
      <c r="N85" s="590">
        <v>45691</v>
      </c>
      <c r="O85" s="589">
        <v>472.05</v>
      </c>
      <c r="P85" s="591">
        <f t="shared" si="9"/>
        <v>-3.6062159237099434E-2</v>
      </c>
      <c r="Q85" s="351"/>
      <c r="R85" s="590">
        <v>45691</v>
      </c>
      <c r="S85" s="589">
        <v>15.53</v>
      </c>
      <c r="T85" s="591">
        <f t="shared" si="10"/>
        <v>1.935483870967758E-3</v>
      </c>
      <c r="U85" s="351"/>
      <c r="V85" s="590">
        <v>45691</v>
      </c>
      <c r="W85" s="589">
        <v>50.23</v>
      </c>
      <c r="X85" s="591">
        <f t="shared" si="11"/>
        <v>-6.9297758013711408E-2</v>
      </c>
      <c r="Y85" s="351"/>
      <c r="Z85" s="590">
        <v>45718</v>
      </c>
      <c r="AA85" s="592">
        <v>5770.2</v>
      </c>
      <c r="AB85" s="591">
        <f t="shared" si="12"/>
        <v>-3.0951381308254255E-2</v>
      </c>
    </row>
    <row r="86" spans="2:28">
      <c r="B86" s="590" t="s">
        <v>479</v>
      </c>
      <c r="C86" s="589">
        <v>308.33</v>
      </c>
      <c r="D86" s="591">
        <f t="shared" si="7"/>
        <v>1.1548177553229788E-2</v>
      </c>
      <c r="F86" s="590">
        <v>45711</v>
      </c>
      <c r="G86" s="589">
        <v>156.37</v>
      </c>
      <c r="H86" s="591">
        <f t="shared" si="13"/>
        <v>5.122689075630249E-2</v>
      </c>
      <c r="J86" s="594" t="s">
        <v>479</v>
      </c>
      <c r="K86" s="441">
        <v>65.25</v>
      </c>
      <c r="L86" s="591">
        <f t="shared" si="8"/>
        <v>4.7183437650457405E-2</v>
      </c>
      <c r="N86" s="590" t="s">
        <v>479</v>
      </c>
      <c r="O86" s="589">
        <v>489.71</v>
      </c>
      <c r="P86" s="591">
        <f t="shared" si="9"/>
        <v>5.9130133875467727E-2</v>
      </c>
      <c r="Q86" s="351"/>
      <c r="R86" s="589" t="s">
        <v>479</v>
      </c>
      <c r="S86" s="589">
        <v>15.5</v>
      </c>
      <c r="T86" s="591">
        <f t="shared" si="10"/>
        <v>1.9066403681788247E-2</v>
      </c>
      <c r="U86" s="351"/>
      <c r="V86" s="589" t="s">
        <v>479</v>
      </c>
      <c r="W86" s="589">
        <v>53.97</v>
      </c>
      <c r="X86" s="591">
        <f t="shared" si="11"/>
        <v>4.775771694816533E-2</v>
      </c>
      <c r="Y86" s="351"/>
      <c r="Z86" s="590">
        <v>45711</v>
      </c>
      <c r="AA86" s="592">
        <v>5954.5</v>
      </c>
      <c r="AB86" s="591">
        <f t="shared" si="12"/>
        <v>-9.7503296951837459E-3</v>
      </c>
    </row>
    <row r="87" spans="2:28">
      <c r="B87" s="590" t="s">
        <v>480</v>
      </c>
      <c r="C87" s="589">
        <v>304.81</v>
      </c>
      <c r="D87" s="591">
        <f t="shared" si="7"/>
        <v>-1.2121212121212199E-2</v>
      </c>
      <c r="F87" s="590">
        <v>45704</v>
      </c>
      <c r="G87" s="589">
        <v>148.75</v>
      </c>
      <c r="H87" s="591">
        <f t="shared" si="13"/>
        <v>5.6791292001894256E-3</v>
      </c>
      <c r="J87" s="594" t="s">
        <v>480</v>
      </c>
      <c r="K87" s="441">
        <v>62.31</v>
      </c>
      <c r="L87" s="591">
        <f t="shared" si="8"/>
        <v>-3.4252944823310538E-2</v>
      </c>
      <c r="N87" s="590" t="s">
        <v>480</v>
      </c>
      <c r="O87" s="589">
        <v>462.37</v>
      </c>
      <c r="P87" s="591">
        <f t="shared" si="9"/>
        <v>-2.9979440271891922E-2</v>
      </c>
      <c r="Q87" s="351"/>
      <c r="R87" s="589" t="s">
        <v>480</v>
      </c>
      <c r="S87" s="589">
        <v>15.21</v>
      </c>
      <c r="T87" s="591">
        <f t="shared" si="10"/>
        <v>6.3636363636363713E-2</v>
      </c>
      <c r="U87" s="351"/>
      <c r="V87" s="589" t="s">
        <v>480</v>
      </c>
      <c r="W87" s="589">
        <v>51.51</v>
      </c>
      <c r="X87" s="591">
        <f t="shared" si="11"/>
        <v>-9.7582340574632109E-2</v>
      </c>
      <c r="Y87" s="351"/>
      <c r="Z87" s="590">
        <v>45704</v>
      </c>
      <c r="AA87" s="592">
        <v>6013.13</v>
      </c>
      <c r="AB87" s="591">
        <f t="shared" si="12"/>
        <v>-1.6599532596412225E-2</v>
      </c>
    </row>
    <row r="88" spans="2:28">
      <c r="B88" s="590">
        <v>45902</v>
      </c>
      <c r="C88" s="589">
        <v>308.55</v>
      </c>
      <c r="D88" s="591">
        <f t="shared" si="7"/>
        <v>4.8419979612640107E-2</v>
      </c>
      <c r="F88" s="590">
        <v>45697</v>
      </c>
      <c r="G88" s="589">
        <v>147.91</v>
      </c>
      <c r="H88" s="591">
        <f t="shared" si="13"/>
        <v>3.0300919476177191E-2</v>
      </c>
      <c r="J88" s="594">
        <v>45902</v>
      </c>
      <c r="K88" s="441">
        <v>64.52</v>
      </c>
      <c r="L88" s="591">
        <f t="shared" si="8"/>
        <v>5.9245400685998817E-3</v>
      </c>
      <c r="N88" s="590">
        <v>45902</v>
      </c>
      <c r="O88" s="589">
        <v>476.66</v>
      </c>
      <c r="P88" s="591">
        <f t="shared" si="9"/>
        <v>2.1253802973818514E-2</v>
      </c>
      <c r="Q88" s="351"/>
      <c r="R88" s="590">
        <v>45902</v>
      </c>
      <c r="S88" s="589">
        <v>14.3</v>
      </c>
      <c r="T88" s="591">
        <f t="shared" si="10"/>
        <v>-9.009009009008917E-3</v>
      </c>
      <c r="U88" s="351"/>
      <c r="V88" s="590">
        <v>45902</v>
      </c>
      <c r="W88" s="589">
        <v>57.08</v>
      </c>
      <c r="X88" s="591">
        <f t="shared" si="11"/>
        <v>-3.3176182992842307E-3</v>
      </c>
      <c r="Y88" s="351"/>
      <c r="Z88" s="590">
        <v>45697</v>
      </c>
      <c r="AA88" s="592">
        <v>6114.63</v>
      </c>
      <c r="AB88" s="591">
        <f t="shared" si="12"/>
        <v>1.4709616179250373E-2</v>
      </c>
    </row>
    <row r="89" spans="2:28">
      <c r="B89" s="590">
        <v>45690</v>
      </c>
      <c r="C89" s="589">
        <v>294.3</v>
      </c>
      <c r="D89" s="591">
        <f t="shared" si="7"/>
        <v>1.939729823346048E-2</v>
      </c>
      <c r="F89" s="590">
        <v>45690</v>
      </c>
      <c r="G89" s="589">
        <v>143.56</v>
      </c>
      <c r="H89" s="591">
        <f t="shared" si="13"/>
        <v>0.10007662835249054</v>
      </c>
      <c r="J89" s="594">
        <v>45690</v>
      </c>
      <c r="K89" s="441">
        <v>64.14</v>
      </c>
      <c r="L89" s="591">
        <f t="shared" si="8"/>
        <v>4.2248943776405534E-2</v>
      </c>
      <c r="N89" s="590">
        <v>45690</v>
      </c>
      <c r="O89" s="589">
        <v>466.74</v>
      </c>
      <c r="P89" s="591">
        <f t="shared" si="9"/>
        <v>3.9232276451727888E-2</v>
      </c>
      <c r="Q89" s="351"/>
      <c r="R89" s="590">
        <v>45690</v>
      </c>
      <c r="S89" s="589">
        <v>14.43</v>
      </c>
      <c r="T89" s="591">
        <f t="shared" si="10"/>
        <v>-2.6972353337828769E-2</v>
      </c>
      <c r="U89" s="351"/>
      <c r="V89" s="590">
        <v>45690</v>
      </c>
      <c r="W89" s="589">
        <v>57.27</v>
      </c>
      <c r="X89" s="591">
        <f t="shared" si="11"/>
        <v>-1.8508997429305896E-2</v>
      </c>
      <c r="Y89" s="351"/>
      <c r="Z89" s="590">
        <v>45690</v>
      </c>
      <c r="AA89" s="592">
        <v>6025.99</v>
      </c>
      <c r="AB89" s="591">
        <f t="shared" si="12"/>
        <v>-2.4070735514929442E-3</v>
      </c>
    </row>
    <row r="90" spans="2:28">
      <c r="B90" s="590" t="s">
        <v>481</v>
      </c>
      <c r="C90" s="589">
        <v>288.7</v>
      </c>
      <c r="D90" s="591">
        <f t="shared" si="7"/>
        <v>1.1350101590415607E-2</v>
      </c>
      <c r="F90" s="590">
        <v>45683</v>
      </c>
      <c r="G90" s="589">
        <v>130.5</v>
      </c>
      <c r="H90" s="591">
        <f t="shared" si="13"/>
        <v>1.7464525183221724E-2</v>
      </c>
      <c r="J90" s="594" t="s">
        <v>481</v>
      </c>
      <c r="K90" s="441">
        <v>61.54</v>
      </c>
      <c r="L90" s="591">
        <f t="shared" si="8"/>
        <v>-8.6984536082473918E-3</v>
      </c>
      <c r="N90" s="590" t="s">
        <v>481</v>
      </c>
      <c r="O90" s="589">
        <v>449.12</v>
      </c>
      <c r="P90" s="591">
        <f t="shared" si="9"/>
        <v>3.4290583331414215E-2</v>
      </c>
      <c r="Q90" s="351"/>
      <c r="R90" s="589" t="s">
        <v>481</v>
      </c>
      <c r="S90" s="589">
        <v>14.83</v>
      </c>
      <c r="T90" s="591">
        <f t="shared" si="10"/>
        <v>3.7062937062936951E-2</v>
      </c>
      <c r="U90" s="351"/>
      <c r="V90" s="589" t="s">
        <v>481</v>
      </c>
      <c r="W90" s="589">
        <v>58.35</v>
      </c>
      <c r="X90" s="591">
        <f t="shared" si="11"/>
        <v>2.9100529100529071E-2</v>
      </c>
      <c r="Y90" s="351"/>
      <c r="Z90" s="590">
        <v>45683</v>
      </c>
      <c r="AA90" s="592">
        <v>6040.53</v>
      </c>
      <c r="AB90" s="591">
        <f t="shared" si="12"/>
        <v>-9.9504363047511202E-3</v>
      </c>
    </row>
    <row r="91" spans="2:28">
      <c r="B91" s="590" t="s">
        <v>482</v>
      </c>
      <c r="C91" s="589">
        <v>285.45999999999998</v>
      </c>
      <c r="D91" s="591">
        <f t="shared" si="7"/>
        <v>1.6052678412528998E-2</v>
      </c>
      <c r="F91" s="590">
        <v>45676</v>
      </c>
      <c r="G91" s="589">
        <v>128.26</v>
      </c>
      <c r="H91" s="591">
        <f t="shared" si="13"/>
        <v>2.3459942547079393E-2</v>
      </c>
      <c r="J91" s="594" t="s">
        <v>482</v>
      </c>
      <c r="K91" s="441">
        <v>62.08</v>
      </c>
      <c r="L91" s="591">
        <f t="shared" si="8"/>
        <v>2.6455026455026509E-2</v>
      </c>
      <c r="N91" s="590" t="s">
        <v>482</v>
      </c>
      <c r="O91" s="589">
        <v>434.23</v>
      </c>
      <c r="P91" s="591">
        <f t="shared" si="9"/>
        <v>1.6099216099216163E-2</v>
      </c>
      <c r="Q91" s="351"/>
      <c r="R91" s="589" t="s">
        <v>482</v>
      </c>
      <c r="S91" s="589">
        <v>14.3</v>
      </c>
      <c r="T91" s="591">
        <f t="shared" si="10"/>
        <v>-2.0547945205479423E-2</v>
      </c>
      <c r="U91" s="351"/>
      <c r="V91" s="589" t="s">
        <v>482</v>
      </c>
      <c r="W91" s="589">
        <v>56.7</v>
      </c>
      <c r="X91" s="591">
        <f t="shared" si="11"/>
        <v>-1.4255910987482578E-2</v>
      </c>
      <c r="Y91" s="351"/>
      <c r="Z91" s="590">
        <v>45676</v>
      </c>
      <c r="AA91" s="592">
        <v>6101.24</v>
      </c>
      <c r="AB91" s="591">
        <f t="shared" si="12"/>
        <v>1.7439708104177942E-2</v>
      </c>
    </row>
    <row r="92" spans="2:28">
      <c r="B92" s="590">
        <v>45992</v>
      </c>
      <c r="C92" s="589">
        <v>280.95</v>
      </c>
      <c r="D92" s="591">
        <f t="shared" si="7"/>
        <v>-4.8173993128122206E-3</v>
      </c>
      <c r="F92" s="590">
        <v>45669</v>
      </c>
      <c r="G92" s="589">
        <v>125.32</v>
      </c>
      <c r="H92" s="591">
        <f t="shared" si="13"/>
        <v>1.6795131845841693E-2</v>
      </c>
      <c r="J92" s="594">
        <v>45992</v>
      </c>
      <c r="K92" s="441">
        <v>60.48</v>
      </c>
      <c r="L92" s="591">
        <f t="shared" si="8"/>
        <v>-6.5703022339028694E-3</v>
      </c>
      <c r="N92" s="590">
        <v>45992</v>
      </c>
      <c r="O92" s="589">
        <v>427.35</v>
      </c>
      <c r="P92" s="591">
        <f t="shared" si="9"/>
        <v>6.2187756319439291E-2</v>
      </c>
      <c r="Q92" s="351"/>
      <c r="R92" s="590">
        <v>45992</v>
      </c>
      <c r="S92" s="589">
        <v>14.6</v>
      </c>
      <c r="T92" s="591">
        <f t="shared" si="10"/>
        <v>-2.2757697456492587E-2</v>
      </c>
      <c r="U92" s="351"/>
      <c r="V92" s="590">
        <v>45992</v>
      </c>
      <c r="W92" s="589">
        <v>57.52</v>
      </c>
      <c r="X92" s="591">
        <f t="shared" si="11"/>
        <v>1.8053097345132718E-2</v>
      </c>
      <c r="Y92" s="351"/>
      <c r="Z92" s="590">
        <v>45669</v>
      </c>
      <c r="AA92" s="592">
        <v>5996.66</v>
      </c>
      <c r="AB92" s="591">
        <f t="shared" si="12"/>
        <v>2.9109118866525785E-2</v>
      </c>
    </row>
    <row r="93" spans="2:28">
      <c r="B93" s="590">
        <v>45778</v>
      </c>
      <c r="C93" s="589">
        <v>282.31</v>
      </c>
      <c r="D93" s="591">
        <f t="shared" si="7"/>
        <v>-4.2302734242485873E-2</v>
      </c>
      <c r="F93" s="590">
        <v>45662</v>
      </c>
      <c r="G93" s="589">
        <v>123.25</v>
      </c>
      <c r="H93" s="591">
        <f t="shared" si="13"/>
        <v>-7.6363908872901676E-2</v>
      </c>
      <c r="J93" s="594">
        <v>45778</v>
      </c>
      <c r="K93" s="441">
        <v>60.88</v>
      </c>
      <c r="L93" s="591">
        <f t="shared" si="8"/>
        <v>-6.2519248537111105E-2</v>
      </c>
      <c r="N93" s="590">
        <v>45778</v>
      </c>
      <c r="O93" s="589">
        <v>402.33</v>
      </c>
      <c r="P93" s="591">
        <f t="shared" si="9"/>
        <v>-8.1606099342585781E-2</v>
      </c>
      <c r="Q93" s="351"/>
      <c r="R93" s="590">
        <v>45778</v>
      </c>
      <c r="S93" s="589">
        <v>14.94</v>
      </c>
      <c r="T93" s="591">
        <f t="shared" si="10"/>
        <v>-7.6066790352504743E-2</v>
      </c>
      <c r="U93" s="351"/>
      <c r="V93" s="590">
        <v>45778</v>
      </c>
      <c r="W93" s="589">
        <v>56.5</v>
      </c>
      <c r="X93" s="591">
        <f t="shared" si="11"/>
        <v>-5.3601340033500922E-2</v>
      </c>
      <c r="Y93" s="351"/>
      <c r="Z93" s="590">
        <v>45662</v>
      </c>
      <c r="AA93" s="592">
        <v>5827.04</v>
      </c>
      <c r="AB93" s="591">
        <f t="shared" si="12"/>
        <v>-1.9424582707190829E-2</v>
      </c>
    </row>
    <row r="94" spans="2:28">
      <c r="B94" s="590" t="s">
        <v>483</v>
      </c>
      <c r="C94" s="589">
        <v>294.77999999999997</v>
      </c>
      <c r="D94" s="591">
        <f t="shared" si="7"/>
        <v>3.9506845582724104E-3</v>
      </c>
      <c r="F94" s="590">
        <v>45655</v>
      </c>
      <c r="G94" s="589">
        <v>133.44</v>
      </c>
      <c r="H94" s="591">
        <f t="shared" si="13"/>
        <v>-1.3236707831102534E-2</v>
      </c>
      <c r="J94" s="594" t="s">
        <v>483</v>
      </c>
      <c r="K94" s="441">
        <v>64.94</v>
      </c>
      <c r="L94" s="591">
        <f t="shared" si="8"/>
        <v>-9.1547146780592836E-3</v>
      </c>
      <c r="N94" s="590" t="s">
        <v>483</v>
      </c>
      <c r="O94" s="589">
        <v>438.08</v>
      </c>
      <c r="P94" s="591">
        <f t="shared" si="9"/>
        <v>1.9691820678739314E-2</v>
      </c>
      <c r="Q94" s="351"/>
      <c r="R94" s="589" t="s">
        <v>483</v>
      </c>
      <c r="S94" s="589">
        <v>16.170000000000002</v>
      </c>
      <c r="T94" s="591">
        <f t="shared" si="10"/>
        <v>-1.9999999999999907E-2</v>
      </c>
      <c r="U94" s="351"/>
      <c r="V94" s="589" t="s">
        <v>483</v>
      </c>
      <c r="W94" s="589">
        <v>59.7</v>
      </c>
      <c r="X94" s="591">
        <f t="shared" si="11"/>
        <v>-1.7769002961500413E-2</v>
      </c>
      <c r="Y94" s="351"/>
      <c r="Z94" s="590">
        <v>45655</v>
      </c>
      <c r="AA94" s="592">
        <v>5942.47</v>
      </c>
      <c r="AB94" s="591">
        <f t="shared" si="12"/>
        <v>-4.7514252600974194E-3</v>
      </c>
    </row>
    <row r="95" spans="2:28">
      <c r="B95" s="590" t="s">
        <v>484</v>
      </c>
      <c r="C95" s="589">
        <v>293.62</v>
      </c>
      <c r="D95" s="591">
        <f t="shared" si="7"/>
        <v>3.2116987836545707E-3</v>
      </c>
      <c r="F95" s="590">
        <v>45648</v>
      </c>
      <c r="G95" s="589">
        <v>135.22999999999999</v>
      </c>
      <c r="H95" s="591">
        <f t="shared" si="13"/>
        <v>2.1683288002417367E-2</v>
      </c>
      <c r="J95" s="594" t="s">
        <v>484</v>
      </c>
      <c r="K95" s="441">
        <v>65.540000000000006</v>
      </c>
      <c r="L95" s="591">
        <f t="shared" si="8"/>
        <v>-1.8421446757525661E-2</v>
      </c>
      <c r="N95" s="590" t="s">
        <v>484</v>
      </c>
      <c r="O95" s="589">
        <v>429.62</v>
      </c>
      <c r="P95" s="591">
        <f t="shared" si="9"/>
        <v>8.0717067905580198E-3</v>
      </c>
      <c r="Q95" s="351"/>
      <c r="R95" s="589" t="s">
        <v>484</v>
      </c>
      <c r="S95" s="589">
        <v>16.5</v>
      </c>
      <c r="T95" s="591">
        <f t="shared" si="10"/>
        <v>-9.009009009008917E-3</v>
      </c>
      <c r="U95" s="351"/>
      <c r="V95" s="589" t="s">
        <v>484</v>
      </c>
      <c r="W95" s="589">
        <v>60.78</v>
      </c>
      <c r="X95" s="591">
        <f t="shared" si="11"/>
        <v>-1.7617585259414814E-2</v>
      </c>
      <c r="Y95" s="351"/>
      <c r="Z95" s="590">
        <v>45648</v>
      </c>
      <c r="AA95" s="592">
        <v>5970.84</v>
      </c>
      <c r="AB95" s="591">
        <f t="shared" si="12"/>
        <v>6.7427097296339777E-3</v>
      </c>
    </row>
    <row r="96" spans="2:28">
      <c r="B96" s="590" t="s">
        <v>485</v>
      </c>
      <c r="C96" s="589">
        <v>292.68</v>
      </c>
      <c r="D96" s="591">
        <f t="shared" si="7"/>
        <v>-1.3216453135536099E-2</v>
      </c>
      <c r="F96" s="590">
        <v>45641</v>
      </c>
      <c r="G96" s="589">
        <v>132.36000000000001</v>
      </c>
      <c r="H96" s="591">
        <f t="shared" si="13"/>
        <v>-3.3868613138686054E-2</v>
      </c>
      <c r="J96" s="594" t="s">
        <v>485</v>
      </c>
      <c r="K96" s="441">
        <v>66.77</v>
      </c>
      <c r="L96" s="591">
        <f t="shared" si="8"/>
        <v>-2.2114821323960254E-2</v>
      </c>
      <c r="N96" s="590" t="s">
        <v>485</v>
      </c>
      <c r="O96" s="589">
        <v>426.18</v>
      </c>
      <c r="P96" s="591">
        <f t="shared" si="9"/>
        <v>-5.9558223183352799E-2</v>
      </c>
      <c r="Q96" s="351"/>
      <c r="R96" s="589" t="s">
        <v>485</v>
      </c>
      <c r="S96" s="589">
        <v>16.649999999999999</v>
      </c>
      <c r="T96" s="591">
        <f t="shared" si="10"/>
        <v>-2.688486265341905E-2</v>
      </c>
      <c r="U96" s="351"/>
      <c r="V96" s="589" t="s">
        <v>485</v>
      </c>
      <c r="W96" s="589">
        <v>61.87</v>
      </c>
      <c r="X96" s="591">
        <f t="shared" si="11"/>
        <v>-4.2111782009599086E-2</v>
      </c>
      <c r="Y96" s="351"/>
      <c r="Z96" s="590">
        <v>45641</v>
      </c>
      <c r="AA96" s="592">
        <v>5930.85</v>
      </c>
      <c r="AB96" s="591">
        <f t="shared" si="12"/>
        <v>-1.9870800136834843E-2</v>
      </c>
    </row>
    <row r="97" spans="2:28">
      <c r="B97" s="590">
        <v>45516</v>
      </c>
      <c r="C97" s="589">
        <v>296.60000000000002</v>
      </c>
      <c r="D97" s="591">
        <f t="shared" si="7"/>
        <v>-7.9603986888755474E-3</v>
      </c>
      <c r="F97" s="590">
        <v>45634</v>
      </c>
      <c r="G97" s="589">
        <v>137</v>
      </c>
      <c r="H97" s="591">
        <f t="shared" si="13"/>
        <v>-4.5774903727384686E-3</v>
      </c>
      <c r="J97" s="594">
        <v>45516</v>
      </c>
      <c r="K97" s="441">
        <v>68.28</v>
      </c>
      <c r="L97" s="591">
        <f t="shared" si="8"/>
        <v>-1.0291346571966842E-2</v>
      </c>
      <c r="N97" s="590">
        <v>45516</v>
      </c>
      <c r="O97" s="589">
        <v>453.17</v>
      </c>
      <c r="P97" s="591">
        <f t="shared" si="9"/>
        <v>-1.3968972344916009E-2</v>
      </c>
      <c r="Q97" s="351"/>
      <c r="R97" s="590">
        <v>45516</v>
      </c>
      <c r="S97" s="589">
        <v>17.11</v>
      </c>
      <c r="T97" s="591">
        <f t="shared" si="10"/>
        <v>-2.1167048054919979E-2</v>
      </c>
      <c r="U97" s="351"/>
      <c r="V97" s="590">
        <v>45516</v>
      </c>
      <c r="W97" s="589">
        <v>64.59</v>
      </c>
      <c r="X97" s="591">
        <f t="shared" si="11"/>
        <v>-1.2385321100917501E-2</v>
      </c>
      <c r="Y97" s="351"/>
      <c r="Z97" s="590">
        <v>45634</v>
      </c>
      <c r="AA97" s="592">
        <v>6051.09</v>
      </c>
      <c r="AB97" s="591">
        <f t="shared" si="12"/>
        <v>-6.4332123206360947E-3</v>
      </c>
    </row>
    <row r="98" spans="2:28">
      <c r="B98" s="590">
        <v>45303</v>
      </c>
      <c r="C98" s="589">
        <v>298.98</v>
      </c>
      <c r="D98" s="591">
        <f t="shared" si="7"/>
        <v>1.0033444816053505E-2</v>
      </c>
      <c r="F98" s="590">
        <v>45627</v>
      </c>
      <c r="G98" s="589">
        <v>137.63</v>
      </c>
      <c r="H98" s="591">
        <f t="shared" si="13"/>
        <v>-9.428530300849336E-3</v>
      </c>
      <c r="J98" s="594">
        <v>45303</v>
      </c>
      <c r="K98" s="441">
        <v>68.989999999999995</v>
      </c>
      <c r="L98" s="591">
        <f t="shared" si="8"/>
        <v>-8.9067662692142724E-3</v>
      </c>
      <c r="N98" s="590">
        <v>45303</v>
      </c>
      <c r="O98" s="589">
        <v>459.59</v>
      </c>
      <c r="P98" s="591">
        <f t="shared" si="9"/>
        <v>-3.4860034860034861E-2</v>
      </c>
      <c r="Q98" s="351"/>
      <c r="R98" s="590">
        <v>45303</v>
      </c>
      <c r="S98" s="589">
        <v>17.48</v>
      </c>
      <c r="T98" s="591">
        <f t="shared" si="10"/>
        <v>-4.7930283224400849E-2</v>
      </c>
      <c r="U98" s="351"/>
      <c r="V98" s="590">
        <v>45303</v>
      </c>
      <c r="W98" s="589">
        <v>65.400000000000006</v>
      </c>
      <c r="X98" s="591">
        <f t="shared" si="11"/>
        <v>6.3068920676202955E-2</v>
      </c>
      <c r="Y98" s="351"/>
      <c r="Z98" s="590">
        <v>45627</v>
      </c>
      <c r="AA98" s="592">
        <v>6090.27</v>
      </c>
      <c r="AB98" s="591">
        <f t="shared" si="12"/>
        <v>9.5965439842982114E-3</v>
      </c>
    </row>
    <row r="99" spans="2:28">
      <c r="B99" s="590" t="s">
        <v>486</v>
      </c>
      <c r="C99" s="589">
        <v>296.01</v>
      </c>
      <c r="D99" s="591">
        <f t="shared" si="7"/>
        <v>1.9739561802397665E-2</v>
      </c>
      <c r="F99" s="590">
        <v>45620</v>
      </c>
      <c r="G99" s="589">
        <v>138.94</v>
      </c>
      <c r="H99" s="591">
        <f t="shared" si="13"/>
        <v>2.7130923338507973E-2</v>
      </c>
      <c r="J99" s="594" t="s">
        <v>486</v>
      </c>
      <c r="K99" s="441">
        <v>69.61</v>
      </c>
      <c r="L99" s="591">
        <f t="shared" si="8"/>
        <v>7.380607814761353E-3</v>
      </c>
      <c r="N99" s="590" t="s">
        <v>486</v>
      </c>
      <c r="O99" s="589">
        <v>476.19</v>
      </c>
      <c r="P99" s="591">
        <f t="shared" si="9"/>
        <v>5.0380500716885379E-2</v>
      </c>
      <c r="Q99" s="351"/>
      <c r="R99" s="589" t="s">
        <v>486</v>
      </c>
      <c r="S99" s="589">
        <v>18.36</v>
      </c>
      <c r="T99" s="591">
        <f t="shared" si="10"/>
        <v>2.1134593993325845E-2</v>
      </c>
      <c r="U99" s="351"/>
      <c r="V99" s="589" t="s">
        <v>486</v>
      </c>
      <c r="W99" s="589">
        <v>61.52</v>
      </c>
      <c r="X99" s="591">
        <f t="shared" si="11"/>
        <v>-7.9019512981776119E-3</v>
      </c>
      <c r="Y99" s="351"/>
      <c r="Z99" s="590">
        <v>45620</v>
      </c>
      <c r="AA99" s="592">
        <v>6032.38</v>
      </c>
      <c r="AB99" s="591">
        <f t="shared" si="12"/>
        <v>1.0560631493598871E-2</v>
      </c>
    </row>
    <row r="100" spans="2:28">
      <c r="B100" s="590" t="s">
        <v>487</v>
      </c>
      <c r="C100" s="589">
        <v>290.27999999999997</v>
      </c>
      <c r="D100" s="591">
        <f t="shared" si="7"/>
        <v>-8.0306188702458092E-3</v>
      </c>
      <c r="F100" s="590">
        <v>45613</v>
      </c>
      <c r="G100" s="589">
        <v>135.27000000000001</v>
      </c>
      <c r="H100" s="591">
        <f t="shared" si="13"/>
        <v>1.257579160116773E-2</v>
      </c>
      <c r="J100" s="594" t="s">
        <v>487</v>
      </c>
      <c r="K100" s="441">
        <v>69.099999999999994</v>
      </c>
      <c r="L100" s="591">
        <f t="shared" si="8"/>
        <v>2.3400473933649302E-2</v>
      </c>
      <c r="N100" s="590" t="s">
        <v>487</v>
      </c>
      <c r="O100" s="589">
        <v>453.35</v>
      </c>
      <c r="P100" s="591">
        <f t="shared" si="9"/>
        <v>5.3249076504890525E-2</v>
      </c>
      <c r="Q100" s="351"/>
      <c r="R100" s="589" t="s">
        <v>487</v>
      </c>
      <c r="S100" s="589">
        <v>17.98</v>
      </c>
      <c r="T100" s="591">
        <f t="shared" si="10"/>
        <v>-7.7262693156733286E-3</v>
      </c>
      <c r="U100" s="351"/>
      <c r="V100" s="589" t="s">
        <v>487</v>
      </c>
      <c r="W100" s="589">
        <v>62.01</v>
      </c>
      <c r="X100" s="591">
        <f t="shared" si="11"/>
        <v>5.7649667405764937E-2</v>
      </c>
      <c r="Y100" s="351"/>
      <c r="Z100" s="590">
        <v>45613</v>
      </c>
      <c r="AA100" s="592">
        <v>5969.34</v>
      </c>
      <c r="AB100" s="591">
        <f t="shared" si="12"/>
        <v>1.6815941076070429E-2</v>
      </c>
    </row>
    <row r="101" spans="2:28">
      <c r="B101" s="590">
        <v>45576</v>
      </c>
      <c r="C101" s="589">
        <v>292.63</v>
      </c>
      <c r="D101" s="591">
        <f t="shared" si="7"/>
        <v>-2.1206141084389896E-2</v>
      </c>
      <c r="F101" s="590">
        <v>45606</v>
      </c>
      <c r="G101" s="589">
        <v>133.59</v>
      </c>
      <c r="H101" s="591">
        <f t="shared" si="13"/>
        <v>-2.6382916697033743E-2</v>
      </c>
      <c r="J101" s="594">
        <v>45576</v>
      </c>
      <c r="K101" s="441">
        <v>67.52</v>
      </c>
      <c r="L101" s="591">
        <f t="shared" si="8"/>
        <v>-6.91278129136641E-3</v>
      </c>
      <c r="N101" s="590">
        <v>45576</v>
      </c>
      <c r="O101" s="589">
        <v>430.43</v>
      </c>
      <c r="P101" s="591">
        <f t="shared" si="9"/>
        <v>-6.3733060709546985E-2</v>
      </c>
      <c r="Q101" s="351"/>
      <c r="R101" s="590">
        <v>45576</v>
      </c>
      <c r="S101" s="589">
        <v>18.12</v>
      </c>
      <c r="T101" s="591">
        <f t="shared" si="10"/>
        <v>-7.2671443193449203E-2</v>
      </c>
      <c r="U101" s="351"/>
      <c r="V101" s="590">
        <v>45576</v>
      </c>
      <c r="W101" s="589">
        <v>58.63</v>
      </c>
      <c r="X101" s="591">
        <f t="shared" si="11"/>
        <v>-3.0607039619112708E-3</v>
      </c>
      <c r="Y101" s="351"/>
      <c r="Z101" s="590">
        <v>45606</v>
      </c>
      <c r="AA101" s="592">
        <v>5870.62</v>
      </c>
      <c r="AB101" s="591">
        <f t="shared" si="12"/>
        <v>-2.0835487712532963E-2</v>
      </c>
    </row>
    <row r="102" spans="2:28">
      <c r="B102" s="590">
        <v>45362</v>
      </c>
      <c r="C102" s="589">
        <v>298.97000000000003</v>
      </c>
      <c r="D102" s="591">
        <f t="shared" si="7"/>
        <v>1.2736695911385265E-2</v>
      </c>
      <c r="F102" s="590">
        <v>45599</v>
      </c>
      <c r="G102" s="589">
        <v>137.21</v>
      </c>
      <c r="H102" s="591">
        <f t="shared" si="13"/>
        <v>3.6799153695028064E-2</v>
      </c>
      <c r="J102" s="594">
        <v>45362</v>
      </c>
      <c r="K102" s="441">
        <v>67.989999999999995</v>
      </c>
      <c r="L102" s="591">
        <f t="shared" si="8"/>
        <v>-2.8436696198914091E-2</v>
      </c>
      <c r="N102" s="590">
        <v>45362</v>
      </c>
      <c r="O102" s="589">
        <v>459.73</v>
      </c>
      <c r="P102" s="591">
        <f t="shared" si="9"/>
        <v>7.9609233731770868E-2</v>
      </c>
      <c r="Q102" s="351"/>
      <c r="R102" s="590">
        <v>45362</v>
      </c>
      <c r="S102" s="589">
        <v>19.54</v>
      </c>
      <c r="T102" s="591">
        <f t="shared" si="10"/>
        <v>-6.1037639877925542E-3</v>
      </c>
      <c r="U102" s="351"/>
      <c r="V102" s="590">
        <v>45362</v>
      </c>
      <c r="W102" s="589">
        <v>58.81</v>
      </c>
      <c r="X102" s="591">
        <f t="shared" si="11"/>
        <v>3.7549069807134572E-3</v>
      </c>
      <c r="Y102" s="351"/>
      <c r="Z102" s="590">
        <v>45599</v>
      </c>
      <c r="AA102" s="592">
        <v>5995.54</v>
      </c>
      <c r="AB102" s="591">
        <f t="shared" si="12"/>
        <v>4.6561234464460144E-2</v>
      </c>
    </row>
    <row r="103" spans="2:28">
      <c r="B103" s="590" t="s">
        <v>488</v>
      </c>
      <c r="C103" s="589">
        <v>295.20999999999998</v>
      </c>
      <c r="D103" s="591">
        <f t="shared" si="7"/>
        <v>8.8855473155393661E-3</v>
      </c>
      <c r="F103" s="590">
        <v>45592</v>
      </c>
      <c r="G103" s="589">
        <v>132.34</v>
      </c>
      <c r="H103" s="591">
        <f t="shared" si="13"/>
        <v>-5.2615754660251257E-3</v>
      </c>
      <c r="J103" s="594" t="s">
        <v>488</v>
      </c>
      <c r="K103" s="441">
        <v>69.98</v>
      </c>
      <c r="L103" s="591">
        <f t="shared" si="8"/>
        <v>-7.9387581514034355E-3</v>
      </c>
      <c r="N103" s="590" t="s">
        <v>488</v>
      </c>
      <c r="O103" s="589">
        <v>425.83</v>
      </c>
      <c r="P103" s="591">
        <f t="shared" si="9"/>
        <v>2.9047147241487492E-2</v>
      </c>
      <c r="Q103" s="351"/>
      <c r="R103" s="589" t="s">
        <v>488</v>
      </c>
      <c r="S103" s="589">
        <v>19.66</v>
      </c>
      <c r="T103" s="591">
        <f t="shared" si="10"/>
        <v>6.1412487205732003E-3</v>
      </c>
      <c r="U103" s="351"/>
      <c r="V103" s="589" t="s">
        <v>488</v>
      </c>
      <c r="W103" s="589">
        <v>58.59</v>
      </c>
      <c r="X103" s="591">
        <f t="shared" si="11"/>
        <v>-1.4300134589501967E-2</v>
      </c>
      <c r="Y103" s="351"/>
      <c r="Z103" s="590">
        <v>45592</v>
      </c>
      <c r="AA103" s="592">
        <v>5728.8</v>
      </c>
      <c r="AB103" s="591">
        <f t="shared" si="12"/>
        <v>-1.3656742629284513E-2</v>
      </c>
    </row>
    <row r="104" spans="2:28">
      <c r="B104" s="590" t="s">
        <v>489</v>
      </c>
      <c r="C104" s="589">
        <v>292.61</v>
      </c>
      <c r="D104" s="591">
        <f t="shared" si="7"/>
        <v>-7.5657063431892824E-2</v>
      </c>
      <c r="F104" s="590">
        <v>45585</v>
      </c>
      <c r="G104" s="589">
        <v>133.04</v>
      </c>
      <c r="H104" s="591">
        <f t="shared" si="13"/>
        <v>-9.160646458628241E-3</v>
      </c>
      <c r="J104" s="594" t="s">
        <v>489</v>
      </c>
      <c r="K104" s="441">
        <v>70.540000000000006</v>
      </c>
      <c r="L104" s="591">
        <f t="shared" si="8"/>
        <v>-1.4174344436557185E-4</v>
      </c>
      <c r="N104" s="590" t="s">
        <v>489</v>
      </c>
      <c r="O104" s="589">
        <v>413.81</v>
      </c>
      <c r="P104" s="591">
        <f t="shared" si="9"/>
        <v>-3.5070537483968822E-2</v>
      </c>
      <c r="Q104" s="351"/>
      <c r="R104" s="589" t="s">
        <v>489</v>
      </c>
      <c r="S104" s="589">
        <v>19.54</v>
      </c>
      <c r="T104" s="591">
        <f t="shared" si="10"/>
        <v>-8.1218274111675148E-3</v>
      </c>
      <c r="U104" s="351"/>
      <c r="V104" s="589" t="s">
        <v>489</v>
      </c>
      <c r="W104" s="589">
        <v>59.44</v>
      </c>
      <c r="X104" s="591">
        <f t="shared" si="11"/>
        <v>8.4189257450750787E-4</v>
      </c>
      <c r="Y104" s="351"/>
      <c r="Z104" s="590">
        <v>45585</v>
      </c>
      <c r="AA104" s="592">
        <v>5808.12</v>
      </c>
      <c r="AB104" s="591">
        <f t="shared" si="12"/>
        <v>-9.6424862780003506E-3</v>
      </c>
    </row>
    <row r="105" spans="2:28">
      <c r="B105" s="590" t="s">
        <v>490</v>
      </c>
      <c r="C105" s="589">
        <v>316.56</v>
      </c>
      <c r="D105" s="591">
        <f t="shared" si="7"/>
        <v>3.7765538945711885E-2</v>
      </c>
      <c r="F105" s="590">
        <v>45578</v>
      </c>
      <c r="G105" s="589">
        <v>134.27000000000001</v>
      </c>
      <c r="H105" s="591">
        <f t="shared" si="13"/>
        <v>1.8653932248917648E-3</v>
      </c>
      <c r="J105" s="594" t="s">
        <v>490</v>
      </c>
      <c r="K105" s="441">
        <v>70.55</v>
      </c>
      <c r="L105" s="591">
        <f t="shared" si="8"/>
        <v>-3.6717977686767655E-3</v>
      </c>
      <c r="N105" s="590" t="s">
        <v>490</v>
      </c>
      <c r="O105" s="589">
        <v>428.85</v>
      </c>
      <c r="P105" s="591">
        <f t="shared" si="9"/>
        <v>-1.9084413619754326E-3</v>
      </c>
      <c r="Q105" s="351"/>
      <c r="R105" s="589" t="s">
        <v>490</v>
      </c>
      <c r="S105" s="589">
        <v>19.7</v>
      </c>
      <c r="T105" s="591">
        <f t="shared" si="10"/>
        <v>5.8002148227711992E-2</v>
      </c>
      <c r="U105" s="351"/>
      <c r="V105" s="589" t="s">
        <v>490</v>
      </c>
      <c r="W105" s="589">
        <v>59.39</v>
      </c>
      <c r="X105" s="591">
        <f t="shared" si="11"/>
        <v>1.261722080136396E-2</v>
      </c>
      <c r="Y105" s="351"/>
      <c r="Z105" s="590">
        <v>45578</v>
      </c>
      <c r="AA105" s="592">
        <v>5864.67</v>
      </c>
      <c r="AB105" s="591">
        <f t="shared" si="12"/>
        <v>8.5364993817744761E-3</v>
      </c>
    </row>
    <row r="106" spans="2:28">
      <c r="B106" s="590">
        <v>45453</v>
      </c>
      <c r="C106" s="589">
        <v>305.04000000000002</v>
      </c>
      <c r="D106" s="591">
        <f t="shared" si="7"/>
        <v>4.2138530418751596E-3</v>
      </c>
      <c r="F106" s="590">
        <v>45571</v>
      </c>
      <c r="G106" s="589">
        <v>134.02000000000001</v>
      </c>
      <c r="H106" s="591">
        <f t="shared" si="13"/>
        <v>-1.8671743428278376E-2</v>
      </c>
      <c r="J106" s="594">
        <v>45453</v>
      </c>
      <c r="K106" s="441">
        <v>70.81</v>
      </c>
      <c r="L106" s="591">
        <f t="shared" si="8"/>
        <v>-1.323857302118181E-2</v>
      </c>
      <c r="N106" s="590">
        <v>45453</v>
      </c>
      <c r="O106" s="589">
        <v>429.67</v>
      </c>
      <c r="P106" s="591">
        <f t="shared" si="9"/>
        <v>1.0251346076979084E-2</v>
      </c>
      <c r="Q106" s="351"/>
      <c r="R106" s="590">
        <v>45453</v>
      </c>
      <c r="S106" s="589">
        <v>18.62</v>
      </c>
      <c r="T106" s="591">
        <f t="shared" si="10"/>
        <v>5.6154282473057426E-2</v>
      </c>
      <c r="U106" s="351"/>
      <c r="V106" s="590">
        <v>45453</v>
      </c>
      <c r="W106" s="589">
        <v>58.65</v>
      </c>
      <c r="X106" s="591">
        <f t="shared" si="11"/>
        <v>2.6965505165470027E-2</v>
      </c>
      <c r="Y106" s="351"/>
      <c r="Z106" s="590">
        <v>45571</v>
      </c>
      <c r="AA106" s="592">
        <v>5815.03</v>
      </c>
      <c r="AB106" s="591">
        <f t="shared" si="12"/>
        <v>1.1121408711770142E-2</v>
      </c>
    </row>
    <row r="107" spans="2:28">
      <c r="B107" s="590" t="s">
        <v>491</v>
      </c>
      <c r="C107" s="589">
        <v>303.76</v>
      </c>
      <c r="D107" s="591">
        <f t="shared" si="7"/>
        <v>2.304982054068816E-4</v>
      </c>
      <c r="F107" s="590">
        <v>45564</v>
      </c>
      <c r="G107" s="589">
        <v>136.57</v>
      </c>
      <c r="H107" s="591">
        <f t="shared" si="13"/>
        <v>-2.3942252715837609E-2</v>
      </c>
      <c r="J107" s="594" t="s">
        <v>491</v>
      </c>
      <c r="K107" s="441">
        <v>71.760000000000005</v>
      </c>
      <c r="L107" s="591">
        <f t="shared" si="8"/>
        <v>6.7340067340067034E-3</v>
      </c>
      <c r="N107" s="590" t="s">
        <v>491</v>
      </c>
      <c r="O107" s="589">
        <v>425.31</v>
      </c>
      <c r="P107" s="591">
        <f t="shared" si="9"/>
        <v>-8.6707223271099698E-3</v>
      </c>
      <c r="Q107" s="351"/>
      <c r="R107" s="589" t="s">
        <v>491</v>
      </c>
      <c r="S107" s="589">
        <v>17.63</v>
      </c>
      <c r="T107" s="591">
        <f t="shared" si="10"/>
        <v>-8.993816750983652E-3</v>
      </c>
      <c r="U107" s="351"/>
      <c r="V107" s="589" t="s">
        <v>491</v>
      </c>
      <c r="W107" s="589">
        <v>57.11</v>
      </c>
      <c r="X107" s="591">
        <f t="shared" si="11"/>
        <v>-4.0111614928497463E-3</v>
      </c>
      <c r="Y107" s="351"/>
      <c r="Z107" s="590">
        <v>45564</v>
      </c>
      <c r="AA107" s="592">
        <v>5751.07</v>
      </c>
      <c r="AB107" s="591">
        <f t="shared" si="12"/>
        <v>2.2481034894399343E-3</v>
      </c>
    </row>
    <row r="108" spans="2:28">
      <c r="B108" s="590" t="s">
        <v>492</v>
      </c>
      <c r="C108" s="589">
        <v>303.69</v>
      </c>
      <c r="D108" s="591">
        <f t="shared" si="7"/>
        <v>2.3110871542633804E-2</v>
      </c>
      <c r="F108" s="590">
        <v>45557</v>
      </c>
      <c r="G108" s="589">
        <v>139.91999999999999</v>
      </c>
      <c r="H108" s="591">
        <f t="shared" si="13"/>
        <v>7.8714054429110947E-2</v>
      </c>
      <c r="J108" s="594" t="s">
        <v>492</v>
      </c>
      <c r="K108" s="441">
        <v>71.28</v>
      </c>
      <c r="L108" s="591">
        <f t="shared" si="8"/>
        <v>1.4228799089356814E-2</v>
      </c>
      <c r="N108" s="590" t="s">
        <v>492</v>
      </c>
      <c r="O108" s="589">
        <v>429.03</v>
      </c>
      <c r="P108" s="591">
        <f t="shared" si="9"/>
        <v>3.5254090053568721E-2</v>
      </c>
      <c r="Q108" s="351"/>
      <c r="R108" s="589" t="s">
        <v>492</v>
      </c>
      <c r="S108" s="589">
        <v>17.79</v>
      </c>
      <c r="T108" s="591">
        <f t="shared" si="10"/>
        <v>2.006880733944949E-2</v>
      </c>
      <c r="U108" s="351"/>
      <c r="V108" s="589" t="s">
        <v>492</v>
      </c>
      <c r="W108" s="589">
        <v>57.34</v>
      </c>
      <c r="X108" s="591">
        <f t="shared" si="11"/>
        <v>1.9220688450114487E-3</v>
      </c>
      <c r="Y108" s="351"/>
      <c r="Z108" s="590">
        <v>45557</v>
      </c>
      <c r="AA108" s="592">
        <v>5738.17</v>
      </c>
      <c r="AB108" s="591">
        <f t="shared" si="12"/>
        <v>6.2463283969451666E-3</v>
      </c>
    </row>
    <row r="109" spans="2:28">
      <c r="B109" s="590" t="s">
        <v>493</v>
      </c>
      <c r="C109" s="589">
        <v>296.83</v>
      </c>
      <c r="D109" s="591">
        <f t="shared" si="7"/>
        <v>1.0117020200317572E-3</v>
      </c>
      <c r="F109" s="590">
        <v>45550</v>
      </c>
      <c r="G109" s="589">
        <v>129.71</v>
      </c>
      <c r="H109" s="591">
        <f t="shared" si="13"/>
        <v>-2.9479985035540612E-2</v>
      </c>
      <c r="J109" s="594" t="s">
        <v>493</v>
      </c>
      <c r="K109" s="441">
        <v>70.28</v>
      </c>
      <c r="L109" s="591">
        <f t="shared" si="8"/>
        <v>1.5900549291702815E-2</v>
      </c>
      <c r="N109" s="590" t="s">
        <v>493</v>
      </c>
      <c r="O109" s="589">
        <v>414.42</v>
      </c>
      <c r="P109" s="591">
        <f t="shared" si="9"/>
        <v>2.9563748385173394E-2</v>
      </c>
      <c r="Q109" s="351"/>
      <c r="R109" s="589" t="s">
        <v>493</v>
      </c>
      <c r="S109" s="589">
        <v>17.440000000000001</v>
      </c>
      <c r="T109" s="591">
        <f t="shared" si="10"/>
        <v>-7.3989755264655122E-3</v>
      </c>
      <c r="U109" s="351"/>
      <c r="V109" s="589" t="s">
        <v>493</v>
      </c>
      <c r="W109" s="589">
        <v>57.23</v>
      </c>
      <c r="X109" s="591">
        <f t="shared" si="11"/>
        <v>1.9779044903777576E-2</v>
      </c>
      <c r="Y109" s="351"/>
      <c r="Z109" s="590">
        <v>45550</v>
      </c>
      <c r="AA109" s="592">
        <v>5702.55</v>
      </c>
      <c r="AB109" s="591">
        <f t="shared" si="12"/>
        <v>1.3602866680175296E-2</v>
      </c>
    </row>
    <row r="110" spans="2:28">
      <c r="B110" s="590">
        <v>45513</v>
      </c>
      <c r="C110" s="589">
        <v>296.52999999999997</v>
      </c>
      <c r="D110" s="591">
        <f t="shared" si="7"/>
        <v>2.424786708576554E-2</v>
      </c>
      <c r="F110" s="590">
        <v>45543</v>
      </c>
      <c r="G110" s="589">
        <v>133.65</v>
      </c>
      <c r="H110" s="591">
        <f t="shared" si="13"/>
        <v>-1.6433853738702098E-3</v>
      </c>
      <c r="J110" s="594">
        <v>45513</v>
      </c>
      <c r="K110" s="441">
        <v>69.180000000000007</v>
      </c>
      <c r="L110" s="591">
        <f t="shared" si="8"/>
        <v>2.2918823007541222E-2</v>
      </c>
      <c r="N110" s="590">
        <v>45513</v>
      </c>
      <c r="O110" s="589">
        <v>402.52</v>
      </c>
      <c r="P110" s="591">
        <f t="shared" si="9"/>
        <v>-1.461480085191813E-2</v>
      </c>
      <c r="Q110" s="351"/>
      <c r="R110" s="590">
        <v>45513</v>
      </c>
      <c r="S110" s="589">
        <v>17.57</v>
      </c>
      <c r="T110" s="591">
        <f t="shared" si="10"/>
        <v>3.4137728075338547E-2</v>
      </c>
      <c r="U110" s="351"/>
      <c r="V110" s="590">
        <v>45513</v>
      </c>
      <c r="W110" s="589">
        <v>56.12</v>
      </c>
      <c r="X110" s="591">
        <f t="shared" si="11"/>
        <v>4.5454545454545414E-2</v>
      </c>
      <c r="Y110" s="351"/>
      <c r="Z110" s="590">
        <v>45543</v>
      </c>
      <c r="AA110" s="592">
        <v>5626.02</v>
      </c>
      <c r="AB110" s="591">
        <f t="shared" si="12"/>
        <v>4.0233561742616164E-2</v>
      </c>
    </row>
    <row r="111" spans="2:28">
      <c r="B111" s="590">
        <v>45300</v>
      </c>
      <c r="C111" s="589">
        <v>289.51</v>
      </c>
      <c r="D111" s="591">
        <f t="shared" si="7"/>
        <v>2.9446407538278319E-3</v>
      </c>
      <c r="F111" s="590">
        <v>45536</v>
      </c>
      <c r="G111" s="589">
        <v>133.87</v>
      </c>
      <c r="H111" s="591">
        <f t="shared" si="13"/>
        <v>-7.7823895641860874E-3</v>
      </c>
      <c r="J111" s="594">
        <v>45300</v>
      </c>
      <c r="K111" s="441">
        <v>67.63</v>
      </c>
      <c r="L111" s="591">
        <f t="shared" si="8"/>
        <v>-2.6626367299942499E-2</v>
      </c>
      <c r="N111" s="590">
        <v>45300</v>
      </c>
      <c r="O111" s="589">
        <v>408.49</v>
      </c>
      <c r="P111" s="591">
        <f t="shared" si="9"/>
        <v>-1.3809420342338341E-2</v>
      </c>
      <c r="Q111" s="351"/>
      <c r="R111" s="590">
        <v>45300</v>
      </c>
      <c r="S111" s="589">
        <v>16.989999999999998</v>
      </c>
      <c r="T111" s="591">
        <f t="shared" si="10"/>
        <v>4.137115839243366E-3</v>
      </c>
      <c r="U111" s="351"/>
      <c r="V111" s="590">
        <v>45300</v>
      </c>
      <c r="W111" s="589">
        <v>53.68</v>
      </c>
      <c r="X111" s="591">
        <f t="shared" si="11"/>
        <v>-4.2796005706134066E-2</v>
      </c>
      <c r="Y111" s="351"/>
      <c r="Z111" s="590">
        <v>45536</v>
      </c>
      <c r="AA111" s="592">
        <v>5408.42</v>
      </c>
      <c r="AB111" s="591">
        <f t="shared" si="12"/>
        <v>-4.2486367820975812E-2</v>
      </c>
    </row>
    <row r="112" spans="2:28">
      <c r="B112" s="590" t="s">
        <v>494</v>
      </c>
      <c r="C112" s="589">
        <v>288.66000000000003</v>
      </c>
      <c r="D112" s="591">
        <f t="shared" si="7"/>
        <v>-2.9704338214975312E-3</v>
      </c>
      <c r="F112" s="590">
        <v>45529</v>
      </c>
      <c r="G112" s="589">
        <v>134.91999999999999</v>
      </c>
      <c r="H112" s="591">
        <f t="shared" si="13"/>
        <v>-4.4273907910272747E-3</v>
      </c>
      <c r="J112" s="594" t="s">
        <v>494</v>
      </c>
      <c r="K112" s="441">
        <v>69.48</v>
      </c>
      <c r="L112" s="591">
        <f t="shared" si="8"/>
        <v>-1.2507106310403526E-2</v>
      </c>
      <c r="N112" s="590" t="s">
        <v>494</v>
      </c>
      <c r="O112" s="589">
        <v>414.21</v>
      </c>
      <c r="P112" s="591">
        <f t="shared" si="9"/>
        <v>-2.6029909706546284E-2</v>
      </c>
      <c r="Q112" s="351"/>
      <c r="R112" s="589" t="s">
        <v>494</v>
      </c>
      <c r="S112" s="589">
        <v>16.920000000000002</v>
      </c>
      <c r="T112" s="591">
        <f t="shared" si="10"/>
        <v>1.1834319526629056E-3</v>
      </c>
      <c r="U112" s="351"/>
      <c r="V112" s="589" t="s">
        <v>494</v>
      </c>
      <c r="W112" s="589">
        <v>56.08</v>
      </c>
      <c r="X112" s="591">
        <f t="shared" si="11"/>
        <v>4.412586110593919E-2</v>
      </c>
      <c r="Y112" s="351"/>
      <c r="Z112" s="590">
        <v>45529</v>
      </c>
      <c r="AA112" s="592">
        <v>5648.4</v>
      </c>
      <c r="AB112" s="591">
        <f t="shared" si="12"/>
        <v>2.4473743524395797E-3</v>
      </c>
    </row>
    <row r="113" spans="2:28">
      <c r="B113" s="590" t="s">
        <v>495</v>
      </c>
      <c r="C113" s="589">
        <v>289.52</v>
      </c>
      <c r="D113" s="591">
        <f t="shared" si="7"/>
        <v>3.9606449064598204E-2</v>
      </c>
      <c r="F113" s="590">
        <v>45522</v>
      </c>
      <c r="G113" s="589">
        <v>135.52000000000001</v>
      </c>
      <c r="H113" s="591">
        <f t="shared" si="13"/>
        <v>-1.3682678311499274E-2</v>
      </c>
      <c r="J113" s="594" t="s">
        <v>495</v>
      </c>
      <c r="K113" s="441">
        <v>70.36</v>
      </c>
      <c r="L113" s="591">
        <f t="shared" si="8"/>
        <v>-6.355034599632825E-3</v>
      </c>
      <c r="N113" s="590" t="s">
        <v>495</v>
      </c>
      <c r="O113" s="589">
        <v>425.28</v>
      </c>
      <c r="P113" s="591">
        <f t="shared" si="9"/>
        <v>-3.9804926508771654E-2</v>
      </c>
      <c r="Q113" s="351"/>
      <c r="R113" s="589" t="s">
        <v>495</v>
      </c>
      <c r="S113" s="589">
        <v>16.899999999999999</v>
      </c>
      <c r="T113" s="591">
        <f t="shared" si="10"/>
        <v>-1.7720023626698334E-3</v>
      </c>
      <c r="U113" s="351"/>
      <c r="V113" s="589" t="s">
        <v>495</v>
      </c>
      <c r="W113" s="589">
        <v>53.71</v>
      </c>
      <c r="X113" s="591">
        <f t="shared" si="11"/>
        <v>2.3632551934438695E-2</v>
      </c>
      <c r="Y113" s="351"/>
      <c r="Z113" s="590">
        <v>45522</v>
      </c>
      <c r="AA113" s="592">
        <v>5634.61</v>
      </c>
      <c r="AB113" s="591">
        <f t="shared" si="12"/>
        <v>1.4468200027006217E-2</v>
      </c>
    </row>
    <row r="114" spans="2:28">
      <c r="B114" s="590">
        <v>45604</v>
      </c>
      <c r="C114" s="589">
        <v>278.49</v>
      </c>
      <c r="D114" s="591">
        <f t="shared" si="7"/>
        <v>3.9490873800903215E-2</v>
      </c>
      <c r="F114" s="590">
        <v>45515</v>
      </c>
      <c r="G114" s="589">
        <v>137.4</v>
      </c>
      <c r="H114" s="591">
        <f t="shared" si="13"/>
        <v>4.4593903063090412E-3</v>
      </c>
      <c r="J114" s="594">
        <v>45604</v>
      </c>
      <c r="K114" s="441">
        <v>70.81</v>
      </c>
      <c r="L114" s="591">
        <f t="shared" si="8"/>
        <v>4.2547156431711475E-3</v>
      </c>
      <c r="N114" s="590">
        <v>45604</v>
      </c>
      <c r="O114" s="589">
        <v>442.91</v>
      </c>
      <c r="P114" s="591">
        <f t="shared" si="9"/>
        <v>1.0287408759124261E-2</v>
      </c>
      <c r="Q114" s="351"/>
      <c r="R114" s="590">
        <v>45604</v>
      </c>
      <c r="S114" s="589">
        <v>16.93</v>
      </c>
      <c r="T114" s="591">
        <f t="shared" si="10"/>
        <v>-1.1098130841121545E-2</v>
      </c>
      <c r="U114" s="351"/>
      <c r="V114" s="590">
        <v>45604</v>
      </c>
      <c r="W114" s="589">
        <v>52.47</v>
      </c>
      <c r="X114" s="591">
        <f t="shared" si="11"/>
        <v>-5.5445544554455384E-2</v>
      </c>
      <c r="Y114" s="351"/>
      <c r="Z114" s="590">
        <v>45515</v>
      </c>
      <c r="AA114" s="592">
        <v>5554.25</v>
      </c>
      <c r="AB114" s="591">
        <f t="shared" si="12"/>
        <v>3.9312071494865375E-2</v>
      </c>
    </row>
    <row r="115" spans="2:28">
      <c r="B115" s="590">
        <v>45390</v>
      </c>
      <c r="C115" s="589">
        <v>267.91000000000003</v>
      </c>
      <c r="D115" s="591">
        <f t="shared" si="7"/>
        <v>-3.1732263544038353E-2</v>
      </c>
      <c r="F115" s="590">
        <v>45508</v>
      </c>
      <c r="G115" s="589">
        <v>136.79</v>
      </c>
      <c r="H115" s="591">
        <f t="shared" si="13"/>
        <v>1.1910045864772734E-2</v>
      </c>
      <c r="J115" s="594">
        <v>45390</v>
      </c>
      <c r="K115" s="441">
        <v>70.510000000000005</v>
      </c>
      <c r="L115" s="591">
        <f t="shared" si="8"/>
        <v>4.98859749144831E-3</v>
      </c>
      <c r="N115" s="590">
        <v>45390</v>
      </c>
      <c r="O115" s="589">
        <v>438.4</v>
      </c>
      <c r="P115" s="591">
        <f t="shared" si="9"/>
        <v>2.1911421911421813E-2</v>
      </c>
      <c r="Q115" s="351"/>
      <c r="R115" s="590">
        <v>45390</v>
      </c>
      <c r="S115" s="589">
        <v>17.12</v>
      </c>
      <c r="T115" s="591">
        <f t="shared" si="10"/>
        <v>1.4218009478673022E-2</v>
      </c>
      <c r="U115" s="351"/>
      <c r="V115" s="590">
        <v>45390</v>
      </c>
      <c r="W115" s="589">
        <v>55.55</v>
      </c>
      <c r="X115" s="591">
        <f t="shared" si="11"/>
        <v>5.6686322997907546E-2</v>
      </c>
      <c r="Y115" s="351"/>
      <c r="Z115" s="590">
        <v>45508</v>
      </c>
      <c r="AA115" s="592">
        <v>5344.16</v>
      </c>
      <c r="AB115" s="591">
        <f t="shared" si="12"/>
        <v>-4.4888676083321144E-4</v>
      </c>
    </row>
    <row r="116" spans="2:28">
      <c r="B116" s="590" t="s">
        <v>496</v>
      </c>
      <c r="C116" s="589">
        <v>276.69</v>
      </c>
      <c r="D116" s="591">
        <f t="shared" si="7"/>
        <v>9.7976190476190439E-2</v>
      </c>
      <c r="F116" s="590">
        <v>45501</v>
      </c>
      <c r="G116" s="589">
        <v>135.18</v>
      </c>
      <c r="H116" s="591">
        <f t="shared" si="13"/>
        <v>5.5681374463100397E-2</v>
      </c>
      <c r="J116" s="594" t="s">
        <v>496</v>
      </c>
      <c r="K116" s="441">
        <v>70.16</v>
      </c>
      <c r="L116" s="591">
        <f t="shared" si="8"/>
        <v>3.2068255369226195E-2</v>
      </c>
      <c r="N116" s="590" t="s">
        <v>496</v>
      </c>
      <c r="O116" s="589">
        <v>429</v>
      </c>
      <c r="P116" s="591">
        <f t="shared" si="9"/>
        <v>2.7667984189723382E-2</v>
      </c>
      <c r="Q116" s="351"/>
      <c r="R116" s="589" t="s">
        <v>496</v>
      </c>
      <c r="S116" s="589">
        <v>16.88</v>
      </c>
      <c r="T116" s="591">
        <f t="shared" si="10"/>
        <v>5.3603335318641587E-3</v>
      </c>
      <c r="U116" s="351"/>
      <c r="V116" s="589" t="s">
        <v>496</v>
      </c>
      <c r="W116" s="589">
        <v>52.57</v>
      </c>
      <c r="X116" s="591">
        <f t="shared" si="11"/>
        <v>5.4986955649207303E-2</v>
      </c>
      <c r="Y116" s="351"/>
      <c r="Z116" s="590">
        <v>45501</v>
      </c>
      <c r="AA116" s="592">
        <v>5346.56</v>
      </c>
      <c r="AB116" s="591">
        <f t="shared" si="12"/>
        <v>-2.0615119708376817E-2</v>
      </c>
    </row>
    <row r="117" spans="2:28">
      <c r="B117" s="590" t="s">
        <v>497</v>
      </c>
      <c r="C117" s="589">
        <v>252</v>
      </c>
      <c r="D117" s="591">
        <f t="shared" si="7"/>
        <v>-2.0522388059701413E-2</v>
      </c>
      <c r="F117" s="590">
        <v>45494</v>
      </c>
      <c r="G117" s="589">
        <v>128.05000000000001</v>
      </c>
      <c r="H117" s="591">
        <f t="shared" si="13"/>
        <v>8.8237611281809514E-3</v>
      </c>
      <c r="J117" s="594" t="s">
        <v>497</v>
      </c>
      <c r="K117" s="441">
        <v>67.98</v>
      </c>
      <c r="L117" s="591">
        <f t="shared" si="8"/>
        <v>-6.5438548254055373E-2</v>
      </c>
      <c r="N117" s="590" t="s">
        <v>497</v>
      </c>
      <c r="O117" s="589">
        <v>417.45</v>
      </c>
      <c r="P117" s="591">
        <f t="shared" si="9"/>
        <v>3.2857460969393903E-2</v>
      </c>
      <c r="Q117" s="351"/>
      <c r="R117" s="589" t="s">
        <v>497</v>
      </c>
      <c r="S117" s="589">
        <v>16.79</v>
      </c>
      <c r="T117" s="591">
        <f t="shared" si="10"/>
        <v>-4.8725212464589163E-2</v>
      </c>
      <c r="U117" s="351"/>
      <c r="V117" s="589" t="s">
        <v>497</v>
      </c>
      <c r="W117" s="589">
        <v>49.83</v>
      </c>
      <c r="X117" s="591">
        <f t="shared" si="11"/>
        <v>-6.9293985805005676E-2</v>
      </c>
      <c r="Y117" s="351"/>
      <c r="Z117" s="590">
        <v>45494</v>
      </c>
      <c r="AA117" s="592">
        <v>5459.1</v>
      </c>
      <c r="AB117" s="591">
        <f t="shared" si="12"/>
        <v>-8.3378746594005015E-3</v>
      </c>
    </row>
    <row r="118" spans="2:28">
      <c r="B118" s="590" t="s">
        <v>498</v>
      </c>
      <c r="C118" s="589">
        <v>257.27999999999997</v>
      </c>
      <c r="D118" s="591">
        <f t="shared" si="7"/>
        <v>1.3312327688066006E-2</v>
      </c>
      <c r="F118" s="590">
        <v>45487</v>
      </c>
      <c r="G118" s="589">
        <v>126.93</v>
      </c>
      <c r="H118" s="591">
        <f t="shared" si="13"/>
        <v>-3.3356180031985372E-2</v>
      </c>
      <c r="J118" s="594" t="s">
        <v>498</v>
      </c>
      <c r="K118" s="441">
        <v>72.739999999999995</v>
      </c>
      <c r="L118" s="591">
        <f t="shared" si="8"/>
        <v>-2.605237899355739E-3</v>
      </c>
      <c r="N118" s="590" t="s">
        <v>498</v>
      </c>
      <c r="O118" s="589">
        <v>404.17</v>
      </c>
      <c r="P118" s="591">
        <f t="shared" si="9"/>
        <v>-0.17764710669813621</v>
      </c>
      <c r="Q118" s="351"/>
      <c r="R118" s="589" t="s">
        <v>498</v>
      </c>
      <c r="S118" s="589">
        <v>17.649999999999999</v>
      </c>
      <c r="T118" s="591">
        <f t="shared" si="10"/>
        <v>5.6886227544910239E-2</v>
      </c>
      <c r="U118" s="351"/>
      <c r="V118" s="589" t="s">
        <v>498</v>
      </c>
      <c r="W118" s="589">
        <v>53.54</v>
      </c>
      <c r="X118" s="591">
        <f t="shared" si="11"/>
        <v>-7.1614357551586627E-2</v>
      </c>
      <c r="Y118" s="351"/>
      <c r="Z118" s="590">
        <v>45487</v>
      </c>
      <c r="AA118" s="592">
        <v>5505</v>
      </c>
      <c r="AB118" s="591">
        <f t="shared" si="12"/>
        <v>-1.965149100234187E-2</v>
      </c>
    </row>
    <row r="119" spans="2:28">
      <c r="B119" s="590">
        <v>45480</v>
      </c>
      <c r="C119" s="589">
        <v>253.9</v>
      </c>
      <c r="D119" s="591">
        <f t="shared" si="7"/>
        <v>1.1191206340356086E-2</v>
      </c>
      <c r="F119" s="590">
        <v>45480</v>
      </c>
      <c r="G119" s="589">
        <v>131.31</v>
      </c>
      <c r="H119" s="591">
        <f t="shared" si="13"/>
        <v>1.6960966542750811E-2</v>
      </c>
      <c r="J119" s="594">
        <v>45480</v>
      </c>
      <c r="K119" s="441">
        <v>72.930000000000007</v>
      </c>
      <c r="L119" s="591">
        <f t="shared" si="8"/>
        <v>4.769429679643733E-2</v>
      </c>
      <c r="N119" s="590">
        <v>45480</v>
      </c>
      <c r="O119" s="589">
        <v>491.48</v>
      </c>
      <c r="P119" s="591">
        <f t="shared" si="9"/>
        <v>-4.5571466185971854E-3</v>
      </c>
      <c r="Q119" s="351"/>
      <c r="R119" s="590">
        <v>45480</v>
      </c>
      <c r="S119" s="589">
        <v>16.7</v>
      </c>
      <c r="T119" s="591">
        <f t="shared" si="10"/>
        <v>2.7060270602705883E-2</v>
      </c>
      <c r="U119" s="351"/>
      <c r="V119" s="590">
        <v>45480</v>
      </c>
      <c r="W119" s="589">
        <v>57.67</v>
      </c>
      <c r="X119" s="591">
        <f t="shared" si="11"/>
        <v>-8.0956175298804722E-2</v>
      </c>
      <c r="Y119" s="351"/>
      <c r="Z119" s="590">
        <v>45480</v>
      </c>
      <c r="AA119" s="592">
        <v>5615.35</v>
      </c>
      <c r="AB119" s="591">
        <f t="shared" si="12"/>
        <v>8.6506837381157276E-3</v>
      </c>
    </row>
    <row r="120" spans="2:28">
      <c r="B120" s="590" t="s">
        <v>499</v>
      </c>
      <c r="C120" s="589">
        <v>251.09</v>
      </c>
      <c r="D120" s="591">
        <f t="shared" si="7"/>
        <v>-1.4715115366504494E-2</v>
      </c>
      <c r="F120" s="590">
        <v>45473</v>
      </c>
      <c r="G120" s="589">
        <v>129.12</v>
      </c>
      <c r="H120" s="591">
        <f t="shared" si="13"/>
        <v>-2.5215159293371592E-2</v>
      </c>
      <c r="J120" s="594" t="s">
        <v>499</v>
      </c>
      <c r="K120" s="441">
        <v>69.61</v>
      </c>
      <c r="L120" s="591">
        <f t="shared" si="8"/>
        <v>-1.0800056842404482E-2</v>
      </c>
      <c r="N120" s="590" t="s">
        <v>499</v>
      </c>
      <c r="O120" s="589">
        <v>493.73</v>
      </c>
      <c r="P120" s="591">
        <f t="shared" si="9"/>
        <v>-4.3770456878353015E-2</v>
      </c>
      <c r="Q120" s="351"/>
      <c r="R120" s="589" t="s">
        <v>499</v>
      </c>
      <c r="S120" s="589">
        <v>16.260000000000002</v>
      </c>
      <c r="T120" s="591">
        <f t="shared" si="10"/>
        <v>-4.1273584905660354E-2</v>
      </c>
      <c r="U120" s="351"/>
      <c r="V120" s="589" t="s">
        <v>499</v>
      </c>
      <c r="W120" s="589">
        <v>62.75</v>
      </c>
      <c r="X120" s="591">
        <f t="shared" si="11"/>
        <v>1.5961691939345712E-3</v>
      </c>
      <c r="Y120" s="351"/>
      <c r="Z120" s="590">
        <v>45473</v>
      </c>
      <c r="AA120" s="592">
        <v>5567.19</v>
      </c>
      <c r="AB120" s="591">
        <f t="shared" si="12"/>
        <v>1.9542238045006988E-2</v>
      </c>
    </row>
    <row r="121" spans="2:28">
      <c r="B121" s="590" t="s">
        <v>500</v>
      </c>
      <c r="C121" s="589">
        <v>254.84</v>
      </c>
      <c r="D121" s="591">
        <f t="shared" si="7"/>
        <v>-1.7541154246501378E-2</v>
      </c>
      <c r="F121" s="590">
        <v>45466</v>
      </c>
      <c r="G121" s="589">
        <v>132.46</v>
      </c>
      <c r="H121" s="591">
        <f t="shared" si="13"/>
        <v>-1.3627224663042559E-2</v>
      </c>
      <c r="J121" s="594" t="s">
        <v>500</v>
      </c>
      <c r="K121" s="441">
        <v>70.37</v>
      </c>
      <c r="L121" s="591">
        <f t="shared" si="8"/>
        <v>1.6320046216060202E-2</v>
      </c>
      <c r="N121" s="590" t="s">
        <v>500</v>
      </c>
      <c r="O121" s="589">
        <v>516.33000000000004</v>
      </c>
      <c r="P121" s="591">
        <f t="shared" si="9"/>
        <v>-1.0539830979437781E-2</v>
      </c>
      <c r="Q121" s="351"/>
      <c r="R121" s="589" t="s">
        <v>500</v>
      </c>
      <c r="S121" s="589">
        <v>16.96</v>
      </c>
      <c r="T121" s="591">
        <f t="shared" si="10"/>
        <v>1.739652069586084E-2</v>
      </c>
      <c r="U121" s="351"/>
      <c r="V121" s="589" t="s">
        <v>500</v>
      </c>
      <c r="W121" s="589">
        <v>62.65</v>
      </c>
      <c r="X121" s="591">
        <f t="shared" si="11"/>
        <v>-2.4295281108861477E-2</v>
      </c>
      <c r="Y121" s="351"/>
      <c r="Z121" s="590">
        <v>45466</v>
      </c>
      <c r="AA121" s="592">
        <v>5460.48</v>
      </c>
      <c r="AB121" s="591">
        <f t="shared" si="12"/>
        <v>-7.5760071148589514E-4</v>
      </c>
    </row>
    <row r="122" spans="2:28">
      <c r="B122" s="590" t="s">
        <v>501</v>
      </c>
      <c r="C122" s="589">
        <v>259.39</v>
      </c>
      <c r="D122" s="591">
        <f t="shared" si="7"/>
        <v>2.2911901569524273E-2</v>
      </c>
      <c r="F122" s="590">
        <v>45459</v>
      </c>
      <c r="G122" s="589">
        <v>134.29</v>
      </c>
      <c r="H122" s="591">
        <f t="shared" si="13"/>
        <v>-1.827618977995471E-2</v>
      </c>
      <c r="J122" s="594" t="s">
        <v>501</v>
      </c>
      <c r="K122" s="441">
        <v>69.239999999999995</v>
      </c>
      <c r="L122" s="591">
        <f t="shared" si="8"/>
        <v>4.934687953555672E-3</v>
      </c>
      <c r="N122" s="590" t="s">
        <v>501</v>
      </c>
      <c r="O122" s="589">
        <v>521.83000000000004</v>
      </c>
      <c r="P122" s="591">
        <f t="shared" si="9"/>
        <v>8.0550814138602433E-4</v>
      </c>
      <c r="Q122" s="351"/>
      <c r="R122" s="589" t="s">
        <v>501</v>
      </c>
      <c r="S122" s="589">
        <v>16.670000000000002</v>
      </c>
      <c r="T122" s="591">
        <f t="shared" si="10"/>
        <v>-5.9952038369293081E-4</v>
      </c>
      <c r="U122" s="351"/>
      <c r="V122" s="589" t="s">
        <v>501</v>
      </c>
      <c r="W122" s="589">
        <v>64.209999999999994</v>
      </c>
      <c r="X122" s="591">
        <f t="shared" si="11"/>
        <v>-1.8645881094299432E-2</v>
      </c>
      <c r="Y122" s="351"/>
      <c r="Z122" s="590">
        <v>45459</v>
      </c>
      <c r="AA122" s="592">
        <v>5464.62</v>
      </c>
      <c r="AB122" s="591">
        <f t="shared" si="12"/>
        <v>6.079240002945685E-3</v>
      </c>
    </row>
    <row r="123" spans="2:28">
      <c r="B123" s="590">
        <v>45541</v>
      </c>
      <c r="C123" s="589">
        <v>253.58</v>
      </c>
      <c r="D123" s="591">
        <f t="shared" si="7"/>
        <v>-1.0265016978259878E-2</v>
      </c>
      <c r="F123" s="590">
        <v>45452</v>
      </c>
      <c r="G123" s="589">
        <v>136.79</v>
      </c>
      <c r="H123" s="591">
        <f t="shared" si="13"/>
        <v>-2.2719154104451023E-2</v>
      </c>
      <c r="J123" s="594">
        <v>45541</v>
      </c>
      <c r="K123" s="441">
        <v>68.900000000000006</v>
      </c>
      <c r="L123" s="591">
        <f t="shared" si="8"/>
        <v>1.7446932247746627E-3</v>
      </c>
      <c r="N123" s="590">
        <v>45541</v>
      </c>
      <c r="O123" s="589">
        <v>521.41</v>
      </c>
      <c r="P123" s="591">
        <f t="shared" si="9"/>
        <v>1.5305228312725072E-2</v>
      </c>
      <c r="Q123" s="351"/>
      <c r="R123" s="590">
        <v>45541</v>
      </c>
      <c r="S123" s="589">
        <v>16.68</v>
      </c>
      <c r="T123" s="591">
        <f t="shared" si="10"/>
        <v>5.9988002399502527E-4</v>
      </c>
      <c r="U123" s="351"/>
      <c r="V123" s="590">
        <v>45541</v>
      </c>
      <c r="W123" s="589">
        <v>65.430000000000007</v>
      </c>
      <c r="X123" s="591">
        <f t="shared" si="11"/>
        <v>3.2344588198169877E-2</v>
      </c>
      <c r="Y123" s="351"/>
      <c r="Z123" s="590">
        <v>45452</v>
      </c>
      <c r="AA123" s="592">
        <v>5431.6</v>
      </c>
      <c r="AB123" s="591">
        <f t="shared" si="12"/>
        <v>1.5823856038631234E-2</v>
      </c>
    </row>
    <row r="124" spans="2:28">
      <c r="B124" s="590">
        <v>45328</v>
      </c>
      <c r="C124" s="589">
        <v>256.20999999999998</v>
      </c>
      <c r="D124" s="591">
        <f t="shared" si="7"/>
        <v>-1.0351886901773022E-2</v>
      </c>
      <c r="F124" s="590">
        <v>45445</v>
      </c>
      <c r="G124" s="589">
        <v>139.97</v>
      </c>
      <c r="H124" s="591">
        <f t="shared" si="13"/>
        <v>1.8482136360328916E-2</v>
      </c>
      <c r="J124" s="594">
        <v>45328</v>
      </c>
      <c r="K124" s="441">
        <v>68.78</v>
      </c>
      <c r="L124" s="591">
        <f t="shared" si="8"/>
        <v>2.9163021289007052E-3</v>
      </c>
      <c r="N124" s="590">
        <v>45328</v>
      </c>
      <c r="O124" s="589">
        <v>513.54999999999995</v>
      </c>
      <c r="P124" s="591">
        <f t="shared" si="9"/>
        <v>9.772307208305353E-3</v>
      </c>
      <c r="Q124" s="351"/>
      <c r="R124" s="590">
        <v>45328</v>
      </c>
      <c r="S124" s="589">
        <v>16.670000000000002</v>
      </c>
      <c r="T124" s="591">
        <f t="shared" si="10"/>
        <v>-4.4699140401145976E-2</v>
      </c>
      <c r="U124" s="351"/>
      <c r="V124" s="590">
        <v>45328</v>
      </c>
      <c r="W124" s="589">
        <v>63.38</v>
      </c>
      <c r="X124" s="591">
        <f t="shared" si="11"/>
        <v>1.2621824572615514E-2</v>
      </c>
      <c r="Y124" s="351"/>
      <c r="Z124" s="590">
        <v>45445</v>
      </c>
      <c r="AA124" s="592">
        <v>5346.99</v>
      </c>
      <c r="AB124" s="591">
        <f t="shared" si="12"/>
        <v>1.3165299544671605E-2</v>
      </c>
    </row>
    <row r="125" spans="2:28">
      <c r="B125" s="590" t="s">
        <v>502</v>
      </c>
      <c r="C125" s="589">
        <v>258.89</v>
      </c>
      <c r="D125" s="591">
        <f t="shared" si="7"/>
        <v>3.0219673782494461E-3</v>
      </c>
      <c r="F125" s="590">
        <v>45438</v>
      </c>
      <c r="G125" s="589">
        <v>137.43</v>
      </c>
      <c r="H125" s="591">
        <f t="shared" si="13"/>
        <v>-1.59825644751177E-3</v>
      </c>
      <c r="J125" s="594" t="s">
        <v>502</v>
      </c>
      <c r="K125" s="441">
        <v>68.58</v>
      </c>
      <c r="L125" s="591">
        <f t="shared" si="8"/>
        <v>1.5548645046645992E-2</v>
      </c>
      <c r="N125" s="590" t="s">
        <v>502</v>
      </c>
      <c r="O125" s="589">
        <v>508.58</v>
      </c>
      <c r="P125" s="591">
        <f t="shared" si="9"/>
        <v>1.2784769794487838E-2</v>
      </c>
      <c r="Q125" s="351"/>
      <c r="R125" s="589" t="s">
        <v>502</v>
      </c>
      <c r="S125" s="589">
        <v>17.45</v>
      </c>
      <c r="T125" s="591">
        <f t="shared" si="10"/>
        <v>-1.8007878446820502E-2</v>
      </c>
      <c r="U125" s="351"/>
      <c r="V125" s="589" t="s">
        <v>502</v>
      </c>
      <c r="W125" s="589">
        <v>62.59</v>
      </c>
      <c r="X125" s="591">
        <f t="shared" si="11"/>
        <v>-6.9808027923210503E-3</v>
      </c>
      <c r="Y125" s="351"/>
      <c r="Z125" s="590">
        <v>45438</v>
      </c>
      <c r="AA125" s="592">
        <v>5277.51</v>
      </c>
      <c r="AB125" s="591">
        <f t="shared" si="12"/>
        <v>-5.1293941998823422E-3</v>
      </c>
    </row>
    <row r="126" spans="2:28">
      <c r="B126" s="590" t="s">
        <v>503</v>
      </c>
      <c r="C126" s="589">
        <v>258.11</v>
      </c>
      <c r="D126" s="591">
        <f t="shared" si="7"/>
        <v>-5.2390043321829727E-2</v>
      </c>
      <c r="F126" s="590">
        <v>45431</v>
      </c>
      <c r="G126" s="589">
        <v>137.65</v>
      </c>
      <c r="H126" s="591">
        <f t="shared" si="13"/>
        <v>-2.8307214457150898E-2</v>
      </c>
      <c r="J126" s="594" t="s">
        <v>503</v>
      </c>
      <c r="K126" s="441">
        <v>67.53</v>
      </c>
      <c r="L126" s="591">
        <f t="shared" si="8"/>
        <v>-4.6994072819644295E-2</v>
      </c>
      <c r="N126" s="590" t="s">
        <v>503</v>
      </c>
      <c r="O126" s="589">
        <v>502.16</v>
      </c>
      <c r="P126" s="591">
        <f t="shared" si="9"/>
        <v>-2.1187844765413244E-2</v>
      </c>
      <c r="Q126" s="351"/>
      <c r="R126" s="589" t="s">
        <v>503</v>
      </c>
      <c r="S126" s="589">
        <v>17.77</v>
      </c>
      <c r="T126" s="591">
        <f t="shared" si="10"/>
        <v>-3.3713974986405715E-2</v>
      </c>
      <c r="U126" s="351"/>
      <c r="V126" s="589" t="s">
        <v>503</v>
      </c>
      <c r="W126" s="589">
        <v>63.03</v>
      </c>
      <c r="X126" s="591">
        <f t="shared" si="11"/>
        <v>-1.9293605103469669E-2</v>
      </c>
      <c r="Y126" s="351"/>
      <c r="Z126" s="590">
        <v>45431</v>
      </c>
      <c r="AA126" s="592">
        <v>5304.72</v>
      </c>
      <c r="AB126" s="591">
        <f t="shared" si="12"/>
        <v>2.7341621301579799E-4</v>
      </c>
    </row>
    <row r="127" spans="2:28">
      <c r="B127" s="590">
        <v>45631</v>
      </c>
      <c r="C127" s="589">
        <v>272.38</v>
      </c>
      <c r="D127" s="591">
        <f t="shared" si="7"/>
        <v>-9.5272727272727176E-3</v>
      </c>
      <c r="F127" s="590">
        <v>45424</v>
      </c>
      <c r="G127" s="589">
        <v>141.66</v>
      </c>
      <c r="H127" s="591">
        <f t="shared" si="13"/>
        <v>2.9356198227001862E-2</v>
      </c>
      <c r="J127" s="594">
        <v>45631</v>
      </c>
      <c r="K127" s="441">
        <v>70.86</v>
      </c>
      <c r="L127" s="591">
        <f t="shared" si="8"/>
        <v>-3.2495903877662435E-2</v>
      </c>
      <c r="N127" s="590">
        <v>45631</v>
      </c>
      <c r="O127" s="589">
        <v>513.03</v>
      </c>
      <c r="P127" s="591">
        <f t="shared" si="9"/>
        <v>-1.0835823773257536E-2</v>
      </c>
      <c r="Q127" s="351"/>
      <c r="R127" s="590">
        <v>45631</v>
      </c>
      <c r="S127" s="589">
        <v>18.39</v>
      </c>
      <c r="T127" s="591">
        <f t="shared" si="10"/>
        <v>-3.2105263157894748E-2</v>
      </c>
      <c r="U127" s="351"/>
      <c r="V127" s="590">
        <v>45631</v>
      </c>
      <c r="W127" s="589">
        <v>64.27</v>
      </c>
      <c r="X127" s="591">
        <f t="shared" si="11"/>
        <v>-7.8728002469898861E-3</v>
      </c>
      <c r="Y127" s="351"/>
      <c r="Z127" s="590">
        <v>45424</v>
      </c>
      <c r="AA127" s="592">
        <v>5303.27</v>
      </c>
      <c r="AB127" s="591">
        <f t="shared" si="12"/>
        <v>1.5430775004403818E-2</v>
      </c>
    </row>
    <row r="128" spans="2:28">
      <c r="B128" s="590">
        <v>45417</v>
      </c>
      <c r="C128" s="589">
        <v>275</v>
      </c>
      <c r="D128" s="591">
        <f t="shared" si="7"/>
        <v>1.731281444214261E-2</v>
      </c>
      <c r="F128" s="590">
        <v>45417</v>
      </c>
      <c r="G128" s="589">
        <v>137.62</v>
      </c>
      <c r="H128" s="591">
        <f t="shared" si="13"/>
        <v>2.4415661753759199E-2</v>
      </c>
      <c r="J128" s="594">
        <v>45417</v>
      </c>
      <c r="K128" s="441">
        <v>73.239999999999995</v>
      </c>
      <c r="L128" s="591">
        <f t="shared" si="8"/>
        <v>-3.415534748780169E-2</v>
      </c>
      <c r="N128" s="590">
        <v>45417</v>
      </c>
      <c r="O128" s="589">
        <v>518.65</v>
      </c>
      <c r="P128" s="591">
        <f t="shared" si="9"/>
        <v>8.3992767289482462E-3</v>
      </c>
      <c r="Q128" s="351"/>
      <c r="R128" s="590">
        <v>45417</v>
      </c>
      <c r="S128" s="589">
        <v>19</v>
      </c>
      <c r="T128" s="591">
        <f t="shared" si="10"/>
        <v>-4.7141424272818533E-2</v>
      </c>
      <c r="U128" s="351"/>
      <c r="V128" s="590">
        <v>45417</v>
      </c>
      <c r="W128" s="589">
        <v>64.78</v>
      </c>
      <c r="X128" s="591">
        <f t="shared" si="11"/>
        <v>2.6461733481223382E-2</v>
      </c>
      <c r="Y128" s="351"/>
      <c r="Z128" s="590">
        <v>45417</v>
      </c>
      <c r="AA128" s="592">
        <v>5222.68</v>
      </c>
      <c r="AB128" s="591">
        <f t="shared" si="12"/>
        <v>1.8505047983634393E-2</v>
      </c>
    </row>
    <row r="129" spans="2:28">
      <c r="B129" s="590" t="s">
        <v>504</v>
      </c>
      <c r="C129" s="589">
        <v>270.32</v>
      </c>
      <c r="D129" s="591">
        <f t="shared" si="7"/>
        <v>-1.0143176242264351E-2</v>
      </c>
      <c r="F129" s="590">
        <v>45410</v>
      </c>
      <c r="G129" s="589">
        <v>134.34</v>
      </c>
      <c r="H129" s="591">
        <f t="shared" si="13"/>
        <v>-5.2408831205473683E-2</v>
      </c>
      <c r="J129" s="594" t="s">
        <v>504</v>
      </c>
      <c r="K129" s="441">
        <v>75.83</v>
      </c>
      <c r="L129" s="591">
        <f t="shared" si="8"/>
        <v>2.7228393389325367E-2</v>
      </c>
      <c r="N129" s="590" t="s">
        <v>504</v>
      </c>
      <c r="O129" s="589">
        <v>514.33000000000004</v>
      </c>
      <c r="P129" s="591">
        <f t="shared" si="9"/>
        <v>3.0576872983749892E-2</v>
      </c>
      <c r="Q129" s="351"/>
      <c r="R129" s="589" t="s">
        <v>504</v>
      </c>
      <c r="S129" s="589">
        <v>19.940000000000001</v>
      </c>
      <c r="T129" s="591">
        <f t="shared" si="10"/>
        <v>-9.930486593843102E-3</v>
      </c>
      <c r="U129" s="351"/>
      <c r="V129" s="589" t="s">
        <v>504</v>
      </c>
      <c r="W129" s="589">
        <v>63.11</v>
      </c>
      <c r="X129" s="591">
        <f t="shared" si="11"/>
        <v>-9.883903357389423E-3</v>
      </c>
      <c r="Y129" s="351"/>
      <c r="Z129" s="590">
        <v>45410</v>
      </c>
      <c r="AA129" s="592">
        <v>5127.79</v>
      </c>
      <c r="AB129" s="591">
        <f t="shared" si="12"/>
        <v>5.4569055443571823E-3</v>
      </c>
    </row>
    <row r="130" spans="2:28">
      <c r="B130" s="590" t="s">
        <v>505</v>
      </c>
      <c r="C130" s="589">
        <v>273.08999999999997</v>
      </c>
      <c r="D130" s="591">
        <f t="shared" si="7"/>
        <v>4.0442663333208895E-3</v>
      </c>
      <c r="F130" s="590">
        <v>45403</v>
      </c>
      <c r="G130" s="589">
        <v>141.77000000000001</v>
      </c>
      <c r="H130" s="591">
        <f t="shared" si="13"/>
        <v>2.3610108303249167E-2</v>
      </c>
      <c r="J130" s="594" t="s">
        <v>505</v>
      </c>
      <c r="K130" s="441">
        <v>73.819999999999993</v>
      </c>
      <c r="L130" s="591">
        <f t="shared" si="8"/>
        <v>3.3604032483897983E-2</v>
      </c>
      <c r="N130" s="590" t="s">
        <v>505</v>
      </c>
      <c r="O130" s="589">
        <v>499.07</v>
      </c>
      <c r="P130" s="591">
        <f t="shared" si="9"/>
        <v>5.3890824622531808E-2</v>
      </c>
      <c r="Q130" s="351"/>
      <c r="R130" s="589" t="s">
        <v>505</v>
      </c>
      <c r="S130" s="589">
        <v>20.14</v>
      </c>
      <c r="T130" s="591">
        <f t="shared" si="10"/>
        <v>4.6233766233766183E-2</v>
      </c>
      <c r="U130" s="351"/>
      <c r="V130" s="589" t="s">
        <v>505</v>
      </c>
      <c r="W130" s="589">
        <v>63.74</v>
      </c>
      <c r="X130" s="591">
        <f t="shared" si="11"/>
        <v>0.11084001394214016</v>
      </c>
      <c r="Y130" s="351"/>
      <c r="Z130" s="590">
        <v>45403</v>
      </c>
      <c r="AA130" s="592">
        <v>5099.96</v>
      </c>
      <c r="AB130" s="591">
        <f t="shared" si="12"/>
        <v>2.6721130287907124E-2</v>
      </c>
    </row>
    <row r="131" spans="2:28">
      <c r="B131" s="590" t="s">
        <v>506</v>
      </c>
      <c r="C131" s="589">
        <v>271.99</v>
      </c>
      <c r="D131" s="591">
        <f t="shared" si="7"/>
        <v>1.7203335951232468E-2</v>
      </c>
      <c r="F131" s="590">
        <v>45396</v>
      </c>
      <c r="G131" s="589">
        <v>138.5</v>
      </c>
      <c r="H131" s="591">
        <f t="shared" si="13"/>
        <v>5.079825834542806E-3</v>
      </c>
      <c r="J131" s="594" t="s">
        <v>506</v>
      </c>
      <c r="K131" s="441">
        <v>71.42</v>
      </c>
      <c r="L131" s="591">
        <f t="shared" si="8"/>
        <v>2.1046723726674266E-3</v>
      </c>
      <c r="N131" s="590" t="s">
        <v>506</v>
      </c>
      <c r="O131" s="589">
        <v>473.55</v>
      </c>
      <c r="P131" s="591">
        <f t="shared" si="9"/>
        <v>-4.3932082937958028E-2</v>
      </c>
      <c r="Q131" s="351"/>
      <c r="R131" s="589" t="s">
        <v>506</v>
      </c>
      <c r="S131" s="589">
        <v>19.25</v>
      </c>
      <c r="T131" s="591">
        <f t="shared" si="10"/>
        <v>3.4946236559139754E-2</v>
      </c>
      <c r="U131" s="351"/>
      <c r="V131" s="589" t="s">
        <v>506</v>
      </c>
      <c r="W131" s="589">
        <v>57.38</v>
      </c>
      <c r="X131" s="591">
        <f t="shared" si="11"/>
        <v>-2.9923922231614442E-2</v>
      </c>
      <c r="Y131" s="351"/>
      <c r="Z131" s="590">
        <v>45396</v>
      </c>
      <c r="AA131" s="592">
        <v>4967.2299999999996</v>
      </c>
      <c r="AB131" s="591">
        <f t="shared" si="12"/>
        <v>-3.0483603693633787E-2</v>
      </c>
    </row>
    <row r="132" spans="2:28">
      <c r="B132" s="590">
        <v>45477</v>
      </c>
      <c r="C132" s="589">
        <v>267.39</v>
      </c>
      <c r="D132" s="591">
        <f t="shared" si="7"/>
        <v>2.6247703325958938E-3</v>
      </c>
      <c r="F132" s="590">
        <v>45389</v>
      </c>
      <c r="G132" s="589">
        <v>137.80000000000001</v>
      </c>
      <c r="H132" s="591">
        <f t="shared" si="13"/>
        <v>1.2490815576781999E-2</v>
      </c>
      <c r="J132" s="594">
        <v>45477</v>
      </c>
      <c r="K132" s="441">
        <v>71.27</v>
      </c>
      <c r="L132" s="591">
        <f t="shared" si="8"/>
        <v>-4.3997317236753819E-2</v>
      </c>
      <c r="N132" s="590">
        <v>45477</v>
      </c>
      <c r="O132" s="589">
        <v>495.31</v>
      </c>
      <c r="P132" s="591">
        <f t="shared" si="9"/>
        <v>4.2781832927818453E-3</v>
      </c>
      <c r="Q132" s="351"/>
      <c r="R132" s="590">
        <v>45477</v>
      </c>
      <c r="S132" s="589">
        <v>18.600000000000001</v>
      </c>
      <c r="T132" s="591">
        <f t="shared" si="10"/>
        <v>8.6767895878525625E-3</v>
      </c>
      <c r="U132" s="351"/>
      <c r="V132" s="590">
        <v>45477</v>
      </c>
      <c r="W132" s="589">
        <v>59.15</v>
      </c>
      <c r="X132" s="591">
        <f t="shared" si="11"/>
        <v>1.7897091722595126E-2</v>
      </c>
      <c r="Y132" s="351"/>
      <c r="Z132" s="590">
        <v>45389</v>
      </c>
      <c r="AA132" s="592">
        <v>5123.41</v>
      </c>
      <c r="AB132" s="591">
        <f t="shared" si="12"/>
        <v>-1.5550482866223292E-2</v>
      </c>
    </row>
    <row r="133" spans="2:28">
      <c r="B133" s="590" t="s">
        <v>507</v>
      </c>
      <c r="C133" s="589">
        <v>266.69</v>
      </c>
      <c r="D133" s="591">
        <f t="shared" si="7"/>
        <v>-5.4123071466572026E-2</v>
      </c>
      <c r="F133" s="590">
        <v>45382</v>
      </c>
      <c r="G133" s="589">
        <v>136.1</v>
      </c>
      <c r="H133" s="591">
        <f t="shared" si="13"/>
        <v>-1.8391633609808999E-2</v>
      </c>
      <c r="J133" s="594" t="s">
        <v>507</v>
      </c>
      <c r="K133" s="441">
        <v>74.55</v>
      </c>
      <c r="L133" s="591">
        <f t="shared" si="8"/>
        <v>-6.1674008810572722E-2</v>
      </c>
      <c r="N133" s="590" t="s">
        <v>507</v>
      </c>
      <c r="O133" s="589">
        <v>493.2</v>
      </c>
      <c r="P133" s="591">
        <f t="shared" si="9"/>
        <v>-7.406214780228626E-3</v>
      </c>
      <c r="Q133" s="351"/>
      <c r="R133" s="589" t="s">
        <v>507</v>
      </c>
      <c r="S133" s="589">
        <v>18.440000000000001</v>
      </c>
      <c r="T133" s="591">
        <f t="shared" si="10"/>
        <v>-2.123142250530774E-2</v>
      </c>
      <c r="U133" s="351"/>
      <c r="V133" s="589" t="s">
        <v>507</v>
      </c>
      <c r="W133" s="589">
        <v>58.11</v>
      </c>
      <c r="X133" s="591">
        <f t="shared" si="11"/>
        <v>-5.1599587203299269E-4</v>
      </c>
      <c r="Y133" s="351"/>
      <c r="Z133" s="590">
        <v>45382</v>
      </c>
      <c r="AA133" s="592">
        <v>5204.34</v>
      </c>
      <c r="AB133" s="591">
        <f t="shared" si="12"/>
        <v>-9.5178280853007724E-3</v>
      </c>
    </row>
    <row r="134" spans="2:28">
      <c r="B134" s="590" t="s">
        <v>508</v>
      </c>
      <c r="C134" s="589">
        <v>281.95</v>
      </c>
      <c r="D134" s="591">
        <f t="shared" si="7"/>
        <v>-2.4059724728443532E-3</v>
      </c>
      <c r="F134" s="590">
        <v>45375</v>
      </c>
      <c r="G134" s="589">
        <v>138.65</v>
      </c>
      <c r="H134" s="591">
        <f t="shared" si="13"/>
        <v>1.776407546061809E-2</v>
      </c>
      <c r="J134" s="594" t="s">
        <v>508</v>
      </c>
      <c r="K134" s="441">
        <v>79.45</v>
      </c>
      <c r="L134" s="591">
        <f t="shared" si="8"/>
        <v>2.3971738581882729E-3</v>
      </c>
      <c r="N134" s="590" t="s">
        <v>508</v>
      </c>
      <c r="O134" s="589">
        <v>496.88</v>
      </c>
      <c r="P134" s="591">
        <f t="shared" si="9"/>
        <v>8.3896863138606559E-2</v>
      </c>
      <c r="Q134" s="351"/>
      <c r="R134" s="589" t="s">
        <v>508</v>
      </c>
      <c r="S134" s="589">
        <v>18.84</v>
      </c>
      <c r="T134" s="591">
        <f t="shared" si="10"/>
        <v>1.4539579967689731E-2</v>
      </c>
      <c r="U134" s="351"/>
      <c r="V134" s="589" t="s">
        <v>508</v>
      </c>
      <c r="W134" s="589">
        <v>58.14</v>
      </c>
      <c r="X134" s="591">
        <f t="shared" si="11"/>
        <v>8.6745315752949637E-3</v>
      </c>
      <c r="Y134" s="351"/>
      <c r="Z134" s="590">
        <v>45375</v>
      </c>
      <c r="AA134" s="592">
        <v>5254.35</v>
      </c>
      <c r="AB134" s="591">
        <f t="shared" si="12"/>
        <v>3.8535166922040176E-3</v>
      </c>
    </row>
    <row r="135" spans="2:28">
      <c r="B135" s="590" t="s">
        <v>509</v>
      </c>
      <c r="C135" s="589">
        <v>282.63</v>
      </c>
      <c r="D135" s="591">
        <f t="shared" si="7"/>
        <v>1.2502686823816056E-2</v>
      </c>
      <c r="F135" s="590">
        <v>45368</v>
      </c>
      <c r="G135" s="589">
        <v>136.22999999999999</v>
      </c>
      <c r="H135" s="591">
        <f t="shared" si="13"/>
        <v>-4.4577608886291475E-3</v>
      </c>
      <c r="J135" s="594" t="s">
        <v>509</v>
      </c>
      <c r="K135" s="441">
        <v>79.260000000000005</v>
      </c>
      <c r="L135" s="591">
        <f t="shared" si="8"/>
        <v>3.1641564358941832E-3</v>
      </c>
      <c r="N135" s="590" t="s">
        <v>509</v>
      </c>
      <c r="O135" s="589">
        <v>458.42</v>
      </c>
      <c r="P135" s="591">
        <f t="shared" si="9"/>
        <v>3.898282036172418E-2</v>
      </c>
      <c r="Q135" s="351"/>
      <c r="R135" s="589" t="s">
        <v>509</v>
      </c>
      <c r="S135" s="589">
        <v>18.57</v>
      </c>
      <c r="T135" s="591">
        <f t="shared" si="10"/>
        <v>1.309328968903456E-2</v>
      </c>
      <c r="U135" s="351"/>
      <c r="V135" s="589" t="s">
        <v>509</v>
      </c>
      <c r="W135" s="589">
        <v>57.64</v>
      </c>
      <c r="X135" s="591">
        <f t="shared" si="11"/>
        <v>4.5528750226736747E-2</v>
      </c>
      <c r="Y135" s="351"/>
      <c r="Z135" s="590">
        <v>45368</v>
      </c>
      <c r="AA135" s="592">
        <v>5234.18</v>
      </c>
      <c r="AB135" s="591">
        <f t="shared" si="12"/>
        <v>2.2882145907146434E-2</v>
      </c>
    </row>
    <row r="136" spans="2:28">
      <c r="B136" s="590">
        <v>45568</v>
      </c>
      <c r="C136" s="589">
        <v>279.14</v>
      </c>
      <c r="D136" s="591">
        <f t="shared" si="7"/>
        <v>-4.5838318236198994E-2</v>
      </c>
      <c r="F136" s="590">
        <v>45361</v>
      </c>
      <c r="G136" s="589">
        <v>136.84</v>
      </c>
      <c r="H136" s="591">
        <f t="shared" si="13"/>
        <v>-1.9489825164803687E-2</v>
      </c>
      <c r="J136" s="594">
        <v>45568</v>
      </c>
      <c r="K136" s="441">
        <v>79.010000000000005</v>
      </c>
      <c r="L136" s="591">
        <f t="shared" si="8"/>
        <v>-8.6574654956085295E-3</v>
      </c>
      <c r="N136" s="590">
        <v>45568</v>
      </c>
      <c r="O136" s="589">
        <v>441.22</v>
      </c>
      <c r="P136" s="591">
        <f t="shared" si="9"/>
        <v>-8.5166625469089707E-3</v>
      </c>
      <c r="Q136" s="351"/>
      <c r="R136" s="590">
        <v>45568</v>
      </c>
      <c r="S136" s="589">
        <v>18.329999999999998</v>
      </c>
      <c r="T136" s="591">
        <f t="shared" si="10"/>
        <v>-4.8859934853422438E-3</v>
      </c>
      <c r="U136" s="351"/>
      <c r="V136" s="590">
        <v>45568</v>
      </c>
      <c r="W136" s="589">
        <v>55.13</v>
      </c>
      <c r="X136" s="591">
        <f t="shared" si="11"/>
        <v>2.6247207743857137E-2</v>
      </c>
      <c r="Y136" s="351"/>
      <c r="Z136" s="590">
        <v>45361</v>
      </c>
      <c r="AA136" s="592">
        <v>5117.09</v>
      </c>
      <c r="AB136" s="591">
        <f t="shared" si="12"/>
        <v>-1.2881341377014577E-3</v>
      </c>
    </row>
    <row r="137" spans="2:28">
      <c r="B137" s="590">
        <v>45354</v>
      </c>
      <c r="C137" s="589">
        <v>292.55</v>
      </c>
      <c r="D137" s="591">
        <f t="shared" si="7"/>
        <v>6.2601038764489303E-3</v>
      </c>
      <c r="F137" s="590">
        <v>45354</v>
      </c>
      <c r="G137" s="589">
        <v>139.56</v>
      </c>
      <c r="H137" s="591">
        <f t="shared" si="13"/>
        <v>1.5572696841799072E-2</v>
      </c>
      <c r="J137" s="594">
        <v>45354</v>
      </c>
      <c r="K137" s="441">
        <v>79.7</v>
      </c>
      <c r="L137" s="591">
        <f t="shared" si="8"/>
        <v>2.5608029854587766E-2</v>
      </c>
      <c r="N137" s="590">
        <v>45354</v>
      </c>
      <c r="O137" s="589">
        <v>445.01</v>
      </c>
      <c r="P137" s="591">
        <f t="shared" si="9"/>
        <v>-4.9638888267782288E-3</v>
      </c>
      <c r="Q137" s="351"/>
      <c r="R137" s="590">
        <v>45354</v>
      </c>
      <c r="S137" s="589">
        <v>18.420000000000002</v>
      </c>
      <c r="T137" s="591">
        <f t="shared" si="10"/>
        <v>2.2197558268590489E-2</v>
      </c>
      <c r="U137" s="351"/>
      <c r="V137" s="590">
        <v>45354</v>
      </c>
      <c r="W137" s="589">
        <v>53.72</v>
      </c>
      <c r="X137" s="591">
        <f t="shared" si="11"/>
        <v>-1.1156563778356166E-3</v>
      </c>
      <c r="Y137" s="351"/>
      <c r="Z137" s="590">
        <v>45354</v>
      </c>
      <c r="AA137" s="592">
        <v>5123.6899999999996</v>
      </c>
      <c r="AB137" s="591">
        <f t="shared" si="12"/>
        <v>-2.6065391233931479E-3</v>
      </c>
    </row>
    <row r="138" spans="2:28">
      <c r="B138" s="590" t="s">
        <v>510</v>
      </c>
      <c r="C138" s="589">
        <v>290.73</v>
      </c>
      <c r="D138" s="591">
        <f t="shared" si="7"/>
        <v>-2.3576826196473499E-2</v>
      </c>
      <c r="F138" s="590">
        <v>45347</v>
      </c>
      <c r="G138" s="589">
        <v>137.41999999999999</v>
      </c>
      <c r="H138" s="591">
        <f t="shared" si="13"/>
        <v>-6.5066512434933665E-3</v>
      </c>
      <c r="J138" s="594" t="s">
        <v>510</v>
      </c>
      <c r="K138" s="441">
        <v>77.709999999999994</v>
      </c>
      <c r="L138" s="591">
        <f t="shared" si="8"/>
        <v>2.0753973466439035E-2</v>
      </c>
      <c r="N138" s="590" t="s">
        <v>510</v>
      </c>
      <c r="O138" s="589">
        <v>447.23</v>
      </c>
      <c r="P138" s="591">
        <f t="shared" si="9"/>
        <v>3.1315577078289136E-2</v>
      </c>
      <c r="Q138" s="351"/>
      <c r="R138" s="589" t="s">
        <v>510</v>
      </c>
      <c r="S138" s="589">
        <v>18.02</v>
      </c>
      <c r="T138" s="591">
        <f t="shared" si="10"/>
        <v>-1.4762165117550574E-2</v>
      </c>
      <c r="U138" s="351"/>
      <c r="V138" s="589" t="s">
        <v>510</v>
      </c>
      <c r="W138" s="589">
        <v>53.78</v>
      </c>
      <c r="X138" s="591">
        <f t="shared" si="11"/>
        <v>1.6058945777441824E-2</v>
      </c>
      <c r="Y138" s="351"/>
      <c r="Z138" s="590">
        <v>45347</v>
      </c>
      <c r="AA138" s="592">
        <v>5137.08</v>
      </c>
      <c r="AB138" s="591">
        <f t="shared" si="12"/>
        <v>9.4875019650997316E-3</v>
      </c>
    </row>
    <row r="139" spans="2:28">
      <c r="B139" s="590" t="s">
        <v>511</v>
      </c>
      <c r="C139" s="589">
        <v>297.75</v>
      </c>
      <c r="D139" s="591">
        <f t="shared" si="7"/>
        <v>1.9621943702486266E-2</v>
      </c>
      <c r="F139" s="590">
        <v>45340</v>
      </c>
      <c r="G139" s="589">
        <v>138.32</v>
      </c>
      <c r="H139" s="591">
        <f t="shared" si="13"/>
        <v>2.8019323671497398E-2</v>
      </c>
      <c r="J139" s="594" t="s">
        <v>511</v>
      </c>
      <c r="K139" s="441">
        <v>76.13</v>
      </c>
      <c r="L139" s="591">
        <f t="shared" si="8"/>
        <v>-1.3732348749838086E-2</v>
      </c>
      <c r="N139" s="590" t="s">
        <v>511</v>
      </c>
      <c r="O139" s="589">
        <v>433.65</v>
      </c>
      <c r="P139" s="591">
        <f t="shared" si="9"/>
        <v>2.7972027972027913E-2</v>
      </c>
      <c r="Q139" s="351"/>
      <c r="R139" s="589" t="s">
        <v>511</v>
      </c>
      <c r="S139" s="589">
        <v>18.29</v>
      </c>
      <c r="T139" s="591">
        <f t="shared" si="10"/>
        <v>-7.596310363537695E-3</v>
      </c>
      <c r="U139" s="351"/>
      <c r="V139" s="589" t="s">
        <v>511</v>
      </c>
      <c r="W139" s="589">
        <v>52.93</v>
      </c>
      <c r="X139" s="591">
        <f t="shared" si="11"/>
        <v>1.8472195497402311E-2</v>
      </c>
      <c r="Y139" s="351"/>
      <c r="Z139" s="590">
        <v>45340</v>
      </c>
      <c r="AA139" s="592">
        <v>5088.8</v>
      </c>
      <c r="AB139" s="591">
        <f t="shared" si="12"/>
        <v>1.6627476990632495E-2</v>
      </c>
    </row>
    <row r="140" spans="2:28">
      <c r="B140" s="590">
        <v>45598</v>
      </c>
      <c r="C140" s="589">
        <v>292.02</v>
      </c>
      <c r="D140" s="591">
        <f t="shared" si="7"/>
        <v>8.8092030262201249E-3</v>
      </c>
      <c r="F140" s="590">
        <v>45333</v>
      </c>
      <c r="G140" s="589">
        <v>134.55000000000001</v>
      </c>
      <c r="H140" s="591">
        <f t="shared" si="13"/>
        <v>3.2854839947800807E-2</v>
      </c>
      <c r="J140" s="594">
        <v>45598</v>
      </c>
      <c r="K140" s="441">
        <v>77.19</v>
      </c>
      <c r="L140" s="591">
        <f t="shared" si="8"/>
        <v>2.2072189041808521E-3</v>
      </c>
      <c r="N140" s="590">
        <v>45598</v>
      </c>
      <c r="O140" s="589">
        <v>421.85</v>
      </c>
      <c r="P140" s="591">
        <f t="shared" si="9"/>
        <v>-7.6219153591002842E-3</v>
      </c>
      <c r="Q140" s="351"/>
      <c r="R140" s="590">
        <v>45598</v>
      </c>
      <c r="S140" s="589">
        <v>18.43</v>
      </c>
      <c r="T140" s="591">
        <f t="shared" si="10"/>
        <v>-4.6066252587991796E-2</v>
      </c>
      <c r="U140" s="351"/>
      <c r="V140" s="590">
        <v>45598</v>
      </c>
      <c r="W140" s="589">
        <v>51.97</v>
      </c>
      <c r="X140" s="591">
        <f t="shared" si="11"/>
        <v>-1.5160128861095412E-2</v>
      </c>
      <c r="Y140" s="351"/>
      <c r="Z140" s="590">
        <v>45333</v>
      </c>
      <c r="AA140" s="592">
        <v>5005.57</v>
      </c>
      <c r="AB140" s="591">
        <f t="shared" si="12"/>
        <v>-4.1857235791119551E-3</v>
      </c>
    </row>
    <row r="141" spans="2:28">
      <c r="B141" s="590">
        <v>45384</v>
      </c>
      <c r="C141" s="589">
        <v>289.47000000000003</v>
      </c>
      <c r="D141" s="591">
        <f t="shared" si="7"/>
        <v>-2.5517589631375182E-2</v>
      </c>
      <c r="F141" s="590">
        <v>45326</v>
      </c>
      <c r="G141" s="589">
        <v>130.27000000000001</v>
      </c>
      <c r="H141" s="591">
        <f t="shared" si="13"/>
        <v>1.1805825242718448E-2</v>
      </c>
      <c r="J141" s="594">
        <v>45384</v>
      </c>
      <c r="K141" s="441">
        <v>77.02</v>
      </c>
      <c r="L141" s="591">
        <f t="shared" si="8"/>
        <v>-2.8874038582776484E-2</v>
      </c>
      <c r="N141" s="590">
        <v>45384</v>
      </c>
      <c r="O141" s="589">
        <v>425.09</v>
      </c>
      <c r="P141" s="591">
        <f t="shared" si="9"/>
        <v>7.1790740652986074E-3</v>
      </c>
      <c r="Q141" s="351"/>
      <c r="R141" s="590">
        <v>45384</v>
      </c>
      <c r="S141" s="589">
        <v>19.32</v>
      </c>
      <c r="T141" s="591">
        <f t="shared" si="10"/>
        <v>1.3109596224436304E-2</v>
      </c>
      <c r="U141" s="351"/>
      <c r="V141" s="590">
        <v>45384</v>
      </c>
      <c r="W141" s="589">
        <v>52.77</v>
      </c>
      <c r="X141" s="591">
        <f t="shared" si="11"/>
        <v>6.2839879154078737E-2</v>
      </c>
      <c r="Y141" s="351"/>
      <c r="Z141" s="590">
        <v>45326</v>
      </c>
      <c r="AA141" s="592">
        <v>5026.6099999999997</v>
      </c>
      <c r="AB141" s="591">
        <f t="shared" si="12"/>
        <v>1.3713520522888434E-2</v>
      </c>
    </row>
    <row r="142" spans="2:28">
      <c r="B142" s="590" t="s">
        <v>512</v>
      </c>
      <c r="C142" s="589">
        <v>297.05</v>
      </c>
      <c r="D142" s="591">
        <f t="shared" si="7"/>
        <v>1.6389516184219577E-2</v>
      </c>
      <c r="F142" s="590">
        <v>45319</v>
      </c>
      <c r="G142" s="589">
        <v>128.75</v>
      </c>
      <c r="H142" s="591">
        <f t="shared" si="13"/>
        <v>-2.6338213649391706E-3</v>
      </c>
      <c r="J142" s="594" t="s">
        <v>512</v>
      </c>
      <c r="K142" s="441">
        <v>79.31</v>
      </c>
      <c r="L142" s="591">
        <f t="shared" si="8"/>
        <v>3.1607700312174858E-2</v>
      </c>
      <c r="N142" s="590" t="s">
        <v>512</v>
      </c>
      <c r="O142" s="589">
        <v>422.06</v>
      </c>
      <c r="P142" s="591">
        <f t="shared" si="9"/>
        <v>7.0146974613476409E-3</v>
      </c>
      <c r="Q142" s="351"/>
      <c r="R142" s="589" t="s">
        <v>512</v>
      </c>
      <c r="S142" s="589">
        <v>19.07</v>
      </c>
      <c r="T142" s="591">
        <f t="shared" si="10"/>
        <v>-5.7351407716370595E-3</v>
      </c>
      <c r="U142" s="351"/>
      <c r="V142" s="589" t="s">
        <v>512</v>
      </c>
      <c r="W142" s="589">
        <v>49.65</v>
      </c>
      <c r="X142" s="591">
        <f t="shared" si="11"/>
        <v>6.7053513862024516E-2</v>
      </c>
      <c r="Y142" s="351"/>
      <c r="Z142" s="590">
        <v>45319</v>
      </c>
      <c r="AA142" s="592">
        <v>4958.6099999999997</v>
      </c>
      <c r="AB142" s="591">
        <f t="shared" si="12"/>
        <v>1.3829567549995092E-2</v>
      </c>
    </row>
    <row r="143" spans="2:28">
      <c r="B143" s="590" t="s">
        <v>513</v>
      </c>
      <c r="C143" s="589">
        <v>292.26</v>
      </c>
      <c r="D143" s="591">
        <f t="shared" si="7"/>
        <v>-2.7518051442451563E-2</v>
      </c>
      <c r="F143" s="590">
        <v>45312</v>
      </c>
      <c r="G143" s="589">
        <v>129.09</v>
      </c>
      <c r="H143" s="591">
        <f t="shared" si="13"/>
        <v>-2.4263038548752891E-2</v>
      </c>
      <c r="J143" s="594" t="s">
        <v>513</v>
      </c>
      <c r="K143" s="441">
        <v>76.88</v>
      </c>
      <c r="L143" s="591">
        <f t="shared" si="8"/>
        <v>0</v>
      </c>
      <c r="N143" s="590" t="s">
        <v>513</v>
      </c>
      <c r="O143" s="589">
        <v>419.12</v>
      </c>
      <c r="P143" s="591">
        <f t="shared" si="9"/>
        <v>-1.7925346205215908E-2</v>
      </c>
      <c r="Q143" s="351"/>
      <c r="R143" s="589" t="s">
        <v>513</v>
      </c>
      <c r="S143" s="589">
        <v>19.18</v>
      </c>
      <c r="T143" s="591">
        <f t="shared" si="10"/>
        <v>-5.2110474205324664E-4</v>
      </c>
      <c r="U143" s="351"/>
      <c r="V143" s="589" t="s">
        <v>513</v>
      </c>
      <c r="W143" s="589">
        <v>46.53</v>
      </c>
      <c r="X143" s="591">
        <f t="shared" si="11"/>
        <v>-3.426857999571542E-3</v>
      </c>
      <c r="Y143" s="351"/>
      <c r="Z143" s="590">
        <v>45312</v>
      </c>
      <c r="AA143" s="592">
        <v>4890.97</v>
      </c>
      <c r="AB143" s="591">
        <f t="shared" si="12"/>
        <v>1.0570662897923633E-2</v>
      </c>
    </row>
    <row r="144" spans="2:28">
      <c r="B144" s="590" t="s">
        <v>514</v>
      </c>
      <c r="C144" s="589">
        <v>300.52999999999997</v>
      </c>
      <c r="D144" s="591">
        <f t="shared" si="7"/>
        <v>2.4056973455548913E-2</v>
      </c>
      <c r="F144" s="590">
        <v>45305</v>
      </c>
      <c r="G144" s="589">
        <v>132.30000000000001</v>
      </c>
      <c r="H144" s="591">
        <f t="shared" si="13"/>
        <v>2.4548904205064837E-2</v>
      </c>
      <c r="J144" s="594" t="s">
        <v>514</v>
      </c>
      <c r="K144" s="441">
        <v>76.88</v>
      </c>
      <c r="L144" s="591">
        <f t="shared" si="8"/>
        <v>-2.0012746972594142E-2</v>
      </c>
      <c r="N144" s="590" t="s">
        <v>514</v>
      </c>
      <c r="O144" s="589">
        <v>426.77</v>
      </c>
      <c r="P144" s="591">
        <f t="shared" si="9"/>
        <v>3.761244833454902E-2</v>
      </c>
      <c r="Q144" s="351"/>
      <c r="R144" s="589" t="s">
        <v>514</v>
      </c>
      <c r="S144" s="589">
        <v>19.190000000000001</v>
      </c>
      <c r="T144" s="591">
        <f t="shared" si="10"/>
        <v>-1.4381099126861696E-2</v>
      </c>
      <c r="U144" s="351"/>
      <c r="V144" s="589" t="s">
        <v>514</v>
      </c>
      <c r="W144" s="589">
        <v>46.69</v>
      </c>
      <c r="X144" s="591">
        <f t="shared" si="11"/>
        <v>2.750880281690149E-2</v>
      </c>
      <c r="Y144" s="351"/>
      <c r="Z144" s="590">
        <v>45305</v>
      </c>
      <c r="AA144" s="592">
        <v>4839.8100000000004</v>
      </c>
      <c r="AB144" s="591">
        <f t="shared" si="12"/>
        <v>1.1701920845849534E-2</v>
      </c>
    </row>
    <row r="145" spans="2:28">
      <c r="B145" s="590">
        <v>45474</v>
      </c>
      <c r="C145" s="589">
        <v>293.47000000000003</v>
      </c>
      <c r="D145" s="591">
        <f t="shared" ref="D145:D171" si="14">C145/C146-1</f>
        <v>1.5502266514412222E-2</v>
      </c>
      <c r="F145" s="590">
        <v>45298</v>
      </c>
      <c r="G145" s="589">
        <v>129.13</v>
      </c>
      <c r="H145" s="591">
        <f t="shared" si="13"/>
        <v>6.1555243883433253E-3</v>
      </c>
      <c r="J145" s="594">
        <v>45474</v>
      </c>
      <c r="K145" s="441">
        <v>78.45</v>
      </c>
      <c r="L145" s="591">
        <f t="shared" ref="L145:L171" si="15">K145/K146-1</f>
        <v>2.6429412534345165E-2</v>
      </c>
      <c r="N145" s="590">
        <v>45474</v>
      </c>
      <c r="O145" s="589">
        <v>411.3</v>
      </c>
      <c r="P145" s="591">
        <f t="shared" ref="P145:P171" si="16">O145/O146-1</f>
        <v>2.8172887033472538E-2</v>
      </c>
      <c r="Q145" s="351"/>
      <c r="R145" s="590">
        <v>45474</v>
      </c>
      <c r="S145" s="589">
        <v>19.47</v>
      </c>
      <c r="T145" s="591">
        <f t="shared" ref="T145:T171" si="17">S145/S146-1</f>
        <v>2.5276461295418606E-2</v>
      </c>
      <c r="U145" s="351"/>
      <c r="V145" s="590">
        <v>45474</v>
      </c>
      <c r="W145" s="589">
        <v>45.44</v>
      </c>
      <c r="X145" s="591">
        <f t="shared" ref="X145:X171" si="18">W145/W146-1</f>
        <v>2.6660641662900941E-2</v>
      </c>
      <c r="Y145" s="351"/>
      <c r="Z145" s="590">
        <v>45298</v>
      </c>
      <c r="AA145" s="592">
        <v>4783.83</v>
      </c>
      <c r="AB145" s="591">
        <f t="shared" ref="AB145:AB171" si="19">AA145/AA146-1</f>
        <v>1.8434229462407803E-2</v>
      </c>
    </row>
    <row r="146" spans="2:28">
      <c r="B146" s="590" t="s">
        <v>515</v>
      </c>
      <c r="C146" s="589">
        <v>288.99</v>
      </c>
      <c r="D146" s="591">
        <f t="shared" si="14"/>
        <v>-2.5361707868200023E-2</v>
      </c>
      <c r="F146" s="590">
        <v>45291</v>
      </c>
      <c r="G146" s="589">
        <v>128.34</v>
      </c>
      <c r="H146" s="591">
        <f t="shared" ref="H146:H171" si="20">G146/G147-1</f>
        <v>-1.7756007959589759E-2</v>
      </c>
      <c r="J146" s="594" t="s">
        <v>515</v>
      </c>
      <c r="K146" s="441">
        <v>76.430000000000007</v>
      </c>
      <c r="L146" s="591">
        <f t="shared" si="15"/>
        <v>-2.1758607449123057E-2</v>
      </c>
      <c r="N146" s="590" t="s">
        <v>515</v>
      </c>
      <c r="O146" s="589">
        <v>400.03</v>
      </c>
      <c r="P146" s="591">
        <f t="shared" si="16"/>
        <v>-2.9595128932877413E-2</v>
      </c>
      <c r="Q146" s="351"/>
      <c r="R146" s="589" t="s">
        <v>515</v>
      </c>
      <c r="S146" s="589">
        <v>18.989999999999998</v>
      </c>
      <c r="T146" s="591">
        <f t="shared" si="17"/>
        <v>-2.5154004106776262E-2</v>
      </c>
      <c r="U146" s="351"/>
      <c r="V146" s="589" t="s">
        <v>515</v>
      </c>
      <c r="W146" s="589">
        <v>44.26</v>
      </c>
      <c r="X146" s="591">
        <f t="shared" si="18"/>
        <v>-3.2356799300393591E-2</v>
      </c>
      <c r="Y146" s="351"/>
      <c r="Z146" s="590">
        <v>45291</v>
      </c>
      <c r="AA146" s="592">
        <v>4697.24</v>
      </c>
      <c r="AB146" s="591">
        <f t="shared" si="19"/>
        <v>-1.5218571731067998E-2</v>
      </c>
    </row>
    <row r="147" spans="2:28">
      <c r="B147" s="590" t="s">
        <v>516</v>
      </c>
      <c r="C147" s="589">
        <v>296.51</v>
      </c>
      <c r="D147" s="591">
        <f t="shared" si="14"/>
        <v>1.6489544052108229E-2</v>
      </c>
      <c r="F147" s="590">
        <v>45284</v>
      </c>
      <c r="G147" s="589">
        <v>130.66</v>
      </c>
      <c r="H147" s="591">
        <f t="shared" si="20"/>
        <v>5.076923076922979E-3</v>
      </c>
      <c r="J147" s="594" t="s">
        <v>516</v>
      </c>
      <c r="K147" s="441">
        <v>78.13</v>
      </c>
      <c r="L147" s="591">
        <f t="shared" si="15"/>
        <v>9.170756910358957E-3</v>
      </c>
      <c r="N147" s="590" t="s">
        <v>516</v>
      </c>
      <c r="O147" s="589">
        <v>412.23</v>
      </c>
      <c r="P147" s="591">
        <f t="shared" si="16"/>
        <v>5.831544017177448E-3</v>
      </c>
      <c r="Q147" s="351"/>
      <c r="R147" s="589" t="s">
        <v>516</v>
      </c>
      <c r="S147" s="589">
        <v>19.48</v>
      </c>
      <c r="T147" s="591">
        <f t="shared" si="17"/>
        <v>-1.5664477008590083E-2</v>
      </c>
      <c r="U147" s="351"/>
      <c r="V147" s="589" t="s">
        <v>516</v>
      </c>
      <c r="W147" s="589">
        <v>45.74</v>
      </c>
      <c r="X147" s="591">
        <f t="shared" si="18"/>
        <v>-7.5938381427641533E-3</v>
      </c>
      <c r="Y147" s="351"/>
      <c r="Z147" s="590">
        <v>45284</v>
      </c>
      <c r="AA147" s="592">
        <v>4769.83</v>
      </c>
      <c r="AB147" s="591">
        <f t="shared" si="19"/>
        <v>3.1968838795026766E-3</v>
      </c>
    </row>
    <row r="148" spans="2:28">
      <c r="B148" s="590" t="s">
        <v>517</v>
      </c>
      <c r="C148" s="589">
        <v>291.7</v>
      </c>
      <c r="D148" s="591">
        <f t="shared" si="14"/>
        <v>1.5421032478156516E-2</v>
      </c>
      <c r="F148" s="590">
        <v>45277</v>
      </c>
      <c r="G148" s="589">
        <v>130</v>
      </c>
      <c r="H148" s="591">
        <f t="shared" si="20"/>
        <v>1.0572139303482775E-2</v>
      </c>
      <c r="J148" s="594" t="s">
        <v>517</v>
      </c>
      <c r="K148" s="441">
        <v>77.42</v>
      </c>
      <c r="L148" s="591">
        <f t="shared" si="15"/>
        <v>5.0332383665717018E-2</v>
      </c>
      <c r="N148" s="590" t="s">
        <v>517</v>
      </c>
      <c r="O148" s="589">
        <v>409.84</v>
      </c>
      <c r="P148" s="591">
        <f t="shared" si="16"/>
        <v>2.4471941007373932E-2</v>
      </c>
      <c r="Q148" s="351"/>
      <c r="R148" s="589" t="s">
        <v>517</v>
      </c>
      <c r="S148" s="589">
        <v>19.79</v>
      </c>
      <c r="T148" s="591">
        <f t="shared" si="17"/>
        <v>-7.0245860511791713E-3</v>
      </c>
      <c r="U148" s="351"/>
      <c r="V148" s="589" t="s">
        <v>517</v>
      </c>
      <c r="W148" s="589">
        <v>46.09</v>
      </c>
      <c r="X148" s="591">
        <f t="shared" si="18"/>
        <v>1.4527845036319764E-2</v>
      </c>
      <c r="Y148" s="351"/>
      <c r="Z148" s="590">
        <v>45277</v>
      </c>
      <c r="AA148" s="592">
        <v>4754.63</v>
      </c>
      <c r="AB148" s="591">
        <f t="shared" si="19"/>
        <v>7.5097633280287734E-3</v>
      </c>
    </row>
    <row r="149" spans="2:28">
      <c r="B149" s="590">
        <v>45211</v>
      </c>
      <c r="C149" s="589">
        <v>287.27</v>
      </c>
      <c r="D149" s="591">
        <f t="shared" si="14"/>
        <v>6.0939305852274472E-3</v>
      </c>
      <c r="F149" s="590">
        <v>45270</v>
      </c>
      <c r="G149" s="589">
        <v>128.63999999999999</v>
      </c>
      <c r="H149" s="591">
        <f t="shared" si="20"/>
        <v>3.4582596107447294E-2</v>
      </c>
      <c r="J149" s="594">
        <v>45211</v>
      </c>
      <c r="K149" s="441">
        <v>73.709999999999994</v>
      </c>
      <c r="L149" s="591">
        <f t="shared" si="15"/>
        <v>2.5031289111389299E-2</v>
      </c>
      <c r="N149" s="590">
        <v>45211</v>
      </c>
      <c r="O149" s="589">
        <v>400.05</v>
      </c>
      <c r="P149" s="591">
        <f t="shared" si="16"/>
        <v>1.3041276272474089E-2</v>
      </c>
      <c r="Q149" s="351"/>
      <c r="R149" s="590">
        <v>45211</v>
      </c>
      <c r="S149" s="589">
        <v>19.93</v>
      </c>
      <c r="T149" s="591">
        <f t="shared" si="17"/>
        <v>4.1819132253005709E-2</v>
      </c>
      <c r="U149" s="351"/>
      <c r="V149" s="590">
        <v>45211</v>
      </c>
      <c r="W149" s="589">
        <v>45.43</v>
      </c>
      <c r="X149" s="591">
        <f t="shared" si="18"/>
        <v>1.2706197057512192E-2</v>
      </c>
      <c r="Y149" s="351"/>
      <c r="Z149" s="590">
        <v>45270</v>
      </c>
      <c r="AA149" s="592">
        <v>4719.1899999999996</v>
      </c>
      <c r="AB149" s="591">
        <f t="shared" si="19"/>
        <v>2.493717924493466E-2</v>
      </c>
    </row>
    <row r="150" spans="2:28">
      <c r="B150" s="590">
        <v>44997</v>
      </c>
      <c r="C150" s="589">
        <v>285.52999999999997</v>
      </c>
      <c r="D150" s="591">
        <f t="shared" si="14"/>
        <v>-1.5037068121416253E-3</v>
      </c>
      <c r="F150" s="590">
        <v>45263</v>
      </c>
      <c r="G150" s="589">
        <v>124.34</v>
      </c>
      <c r="H150" s="591">
        <f t="shared" si="20"/>
        <v>-2.3482290112306514E-2</v>
      </c>
      <c r="J150" s="594">
        <v>44997</v>
      </c>
      <c r="K150" s="441">
        <v>71.91</v>
      </c>
      <c r="L150" s="591">
        <f t="shared" si="15"/>
        <v>-9.5041322314048937E-3</v>
      </c>
      <c r="N150" s="590">
        <v>44997</v>
      </c>
      <c r="O150" s="589">
        <v>394.9</v>
      </c>
      <c r="P150" s="591">
        <f t="shared" si="16"/>
        <v>-5.7404703157258874E-3</v>
      </c>
      <c r="Q150" s="351"/>
      <c r="R150" s="590">
        <v>44997</v>
      </c>
      <c r="S150" s="589">
        <v>19.13</v>
      </c>
      <c r="T150" s="591">
        <f t="shared" si="17"/>
        <v>-2.0982599795291712E-2</v>
      </c>
      <c r="U150" s="351"/>
      <c r="V150" s="590">
        <v>44997</v>
      </c>
      <c r="W150" s="589">
        <v>44.86</v>
      </c>
      <c r="X150" s="591">
        <f t="shared" si="18"/>
        <v>4.0286481647269223E-3</v>
      </c>
      <c r="Y150" s="351"/>
      <c r="Z150" s="590">
        <v>45263</v>
      </c>
      <c r="AA150" s="592">
        <v>4604.37</v>
      </c>
      <c r="AB150" s="591">
        <f t="shared" si="19"/>
        <v>2.1198660175030248E-3</v>
      </c>
    </row>
    <row r="151" spans="2:28">
      <c r="B151" s="590" t="s">
        <v>518</v>
      </c>
      <c r="C151" s="589">
        <v>285.95999999999998</v>
      </c>
      <c r="D151" s="591">
        <f t="shared" si="14"/>
        <v>1.2104480781482074E-2</v>
      </c>
      <c r="F151" s="590">
        <v>45256</v>
      </c>
      <c r="G151" s="589">
        <v>127.33</v>
      </c>
      <c r="H151" s="591">
        <f t="shared" si="20"/>
        <v>-9.1821648120767874E-3</v>
      </c>
      <c r="J151" s="594" t="s">
        <v>518</v>
      </c>
      <c r="K151" s="441">
        <v>72.599999999999994</v>
      </c>
      <c r="L151" s="591">
        <f t="shared" si="15"/>
        <v>4.6561914372206914E-2</v>
      </c>
      <c r="N151" s="590" t="s">
        <v>518</v>
      </c>
      <c r="O151" s="589">
        <v>397.18</v>
      </c>
      <c r="P151" s="591">
        <f t="shared" si="16"/>
        <v>7.2531864333549301E-2</v>
      </c>
      <c r="Q151" s="351"/>
      <c r="R151" s="589" t="s">
        <v>518</v>
      </c>
      <c r="S151" s="589">
        <v>19.54</v>
      </c>
      <c r="T151" s="591">
        <f t="shared" si="17"/>
        <v>7.2164948453607991E-3</v>
      </c>
      <c r="U151" s="351"/>
      <c r="V151" s="589" t="s">
        <v>518</v>
      </c>
      <c r="W151" s="589">
        <v>44.68</v>
      </c>
      <c r="X151" s="591">
        <f t="shared" si="18"/>
        <v>6.5330029285874947E-3</v>
      </c>
      <c r="Y151" s="351"/>
      <c r="Z151" s="590">
        <v>45256</v>
      </c>
      <c r="AA151" s="592">
        <v>4594.63</v>
      </c>
      <c r="AB151" s="591">
        <f t="shared" si="19"/>
        <v>7.740155373365365E-3</v>
      </c>
    </row>
    <row r="152" spans="2:28">
      <c r="B152" s="590" t="s">
        <v>519</v>
      </c>
      <c r="C152" s="589">
        <v>282.54000000000002</v>
      </c>
      <c r="D152" s="591">
        <f t="shared" si="14"/>
        <v>2.4623753399818815E-2</v>
      </c>
      <c r="F152" s="590">
        <v>45249</v>
      </c>
      <c r="G152" s="589">
        <v>128.51</v>
      </c>
      <c r="H152" s="591">
        <f t="shared" si="20"/>
        <v>6.6583111389628691E-3</v>
      </c>
      <c r="J152" s="594" t="s">
        <v>519</v>
      </c>
      <c r="K152" s="441">
        <v>69.37</v>
      </c>
      <c r="L152" s="591">
        <f t="shared" si="15"/>
        <v>-2.4606299212598381E-2</v>
      </c>
      <c r="N152" s="590" t="s">
        <v>519</v>
      </c>
      <c r="O152" s="589">
        <v>370.32</v>
      </c>
      <c r="P152" s="591">
        <f t="shared" si="16"/>
        <v>-5.6387949089737877E-3</v>
      </c>
      <c r="Q152" s="351"/>
      <c r="R152" s="589" t="s">
        <v>519</v>
      </c>
      <c r="S152" s="589">
        <v>19.399999999999999</v>
      </c>
      <c r="T152" s="591">
        <f t="shared" si="17"/>
        <v>5.1813471502588637E-3</v>
      </c>
      <c r="U152" s="351"/>
      <c r="V152" s="589" t="s">
        <v>519</v>
      </c>
      <c r="W152" s="589">
        <v>44.39</v>
      </c>
      <c r="X152" s="591">
        <f t="shared" si="18"/>
        <v>2.659574468085113E-2</v>
      </c>
      <c r="Y152" s="351"/>
      <c r="Z152" s="590">
        <v>45249</v>
      </c>
      <c r="AA152" s="592">
        <v>4559.34</v>
      </c>
      <c r="AB152" s="591">
        <f t="shared" si="19"/>
        <v>1.003983145843379E-2</v>
      </c>
    </row>
    <row r="153" spans="2:28">
      <c r="B153" s="590">
        <v>45271</v>
      </c>
      <c r="C153" s="589">
        <v>275.75</v>
      </c>
      <c r="D153" s="591">
        <f t="shared" si="14"/>
        <v>2.9724784345942723E-2</v>
      </c>
      <c r="F153" s="590">
        <v>45242</v>
      </c>
      <c r="G153" s="589">
        <v>127.66</v>
      </c>
      <c r="H153" s="591">
        <f t="shared" si="20"/>
        <v>1.357681619690343E-2</v>
      </c>
      <c r="J153" s="594">
        <v>45271</v>
      </c>
      <c r="K153" s="441">
        <v>71.12</v>
      </c>
      <c r="L153" s="591">
        <f t="shared" si="15"/>
        <v>3.4623217922607141E-2</v>
      </c>
      <c r="N153" s="590">
        <v>45271</v>
      </c>
      <c r="O153" s="589">
        <v>372.42</v>
      </c>
      <c r="P153" s="591">
        <f t="shared" si="16"/>
        <v>-1.6089403186177353E-2</v>
      </c>
      <c r="Q153" s="351"/>
      <c r="R153" s="590">
        <v>45271</v>
      </c>
      <c r="S153" s="589">
        <v>19.3</v>
      </c>
      <c r="T153" s="591">
        <f t="shared" si="17"/>
        <v>2.0624008461131771E-2</v>
      </c>
      <c r="U153" s="351"/>
      <c r="V153" s="590">
        <v>45271</v>
      </c>
      <c r="W153" s="589">
        <v>43.24</v>
      </c>
      <c r="X153" s="591">
        <f t="shared" si="18"/>
        <v>1.9570855930205244E-2</v>
      </c>
      <c r="Y153" s="351"/>
      <c r="Z153" s="590">
        <v>45242</v>
      </c>
      <c r="AA153" s="592">
        <v>4514.0200000000004</v>
      </c>
      <c r="AB153" s="591">
        <f t="shared" si="19"/>
        <v>2.2372509761643844E-2</v>
      </c>
    </row>
    <row r="154" spans="2:28">
      <c r="B154" s="590">
        <v>45057</v>
      </c>
      <c r="C154" s="589">
        <v>267.79000000000002</v>
      </c>
      <c r="D154" s="591">
        <f t="shared" si="14"/>
        <v>-2.9865233135473179E-4</v>
      </c>
      <c r="F154" s="590">
        <v>45235</v>
      </c>
      <c r="G154" s="589">
        <v>125.95</v>
      </c>
      <c r="H154" s="591">
        <f t="shared" si="20"/>
        <v>-3.0869083425676402E-3</v>
      </c>
      <c r="J154" s="594">
        <v>45057</v>
      </c>
      <c r="K154" s="441">
        <v>68.739999999999995</v>
      </c>
      <c r="L154" s="591">
        <f t="shared" si="15"/>
        <v>1.3864306784660663E-2</v>
      </c>
      <c r="N154" s="590">
        <v>45057</v>
      </c>
      <c r="O154" s="589">
        <v>378.51</v>
      </c>
      <c r="P154" s="591">
        <f t="shared" si="16"/>
        <v>4.5781068685417425E-2</v>
      </c>
      <c r="Q154" s="351"/>
      <c r="R154" s="590">
        <v>45057</v>
      </c>
      <c r="S154" s="589">
        <v>18.91</v>
      </c>
      <c r="T154" s="591">
        <f t="shared" si="17"/>
        <v>-1.7662337662337602E-2</v>
      </c>
      <c r="U154" s="351"/>
      <c r="V154" s="590">
        <v>45057</v>
      </c>
      <c r="W154" s="589">
        <v>42.41</v>
      </c>
      <c r="X154" s="591">
        <f t="shared" si="18"/>
        <v>3.9206076941925794E-2</v>
      </c>
      <c r="Y154" s="351"/>
      <c r="Z154" s="590">
        <v>45235</v>
      </c>
      <c r="AA154" s="592">
        <v>4415.24</v>
      </c>
      <c r="AB154" s="591">
        <f t="shared" si="19"/>
        <v>1.3055429360719906E-2</v>
      </c>
    </row>
    <row r="155" spans="2:28">
      <c r="B155" s="590" t="s">
        <v>520</v>
      </c>
      <c r="C155" s="589">
        <v>267.87</v>
      </c>
      <c r="D155" s="591">
        <f t="shared" si="14"/>
        <v>4.7349077259931205E-2</v>
      </c>
      <c r="F155" s="590">
        <v>45228</v>
      </c>
      <c r="G155" s="589">
        <v>126.34</v>
      </c>
      <c r="H155" s="591">
        <f t="shared" si="20"/>
        <v>5.7769591426657829E-2</v>
      </c>
      <c r="J155" s="594" t="s">
        <v>520</v>
      </c>
      <c r="K155" s="441">
        <v>67.8</v>
      </c>
      <c r="L155" s="591">
        <f t="shared" si="15"/>
        <v>2.9143897996356971E-2</v>
      </c>
      <c r="N155" s="590" t="s">
        <v>520</v>
      </c>
      <c r="O155" s="589">
        <v>361.94</v>
      </c>
      <c r="P155" s="591">
        <f t="shared" si="16"/>
        <v>6.2654139753376414E-2</v>
      </c>
      <c r="Q155" s="351"/>
      <c r="R155" s="589" t="s">
        <v>520</v>
      </c>
      <c r="S155" s="589">
        <v>19.25</v>
      </c>
      <c r="T155" s="591">
        <f t="shared" si="17"/>
        <v>1.156069364161838E-2</v>
      </c>
      <c r="U155" s="351"/>
      <c r="V155" s="589" t="s">
        <v>520</v>
      </c>
      <c r="W155" s="589">
        <v>40.81</v>
      </c>
      <c r="X155" s="591">
        <f t="shared" si="18"/>
        <v>8.105960264900669E-2</v>
      </c>
      <c r="Y155" s="351"/>
      <c r="Z155" s="590">
        <v>45228</v>
      </c>
      <c r="AA155" s="592">
        <v>4358.34</v>
      </c>
      <c r="AB155" s="591">
        <f t="shared" si="19"/>
        <v>5.852522362576118E-2</v>
      </c>
    </row>
    <row r="156" spans="2:28">
      <c r="B156" s="590" t="s">
        <v>521</v>
      </c>
      <c r="C156" s="589">
        <v>255.76</v>
      </c>
      <c r="D156" s="591">
        <f t="shared" si="14"/>
        <v>-9.1046453062648691E-3</v>
      </c>
      <c r="F156" s="590">
        <v>45221</v>
      </c>
      <c r="G156" s="589">
        <v>119.44</v>
      </c>
      <c r="H156" s="591">
        <f t="shared" si="20"/>
        <v>-4.2517715714881499E-3</v>
      </c>
      <c r="J156" s="594" t="s">
        <v>521</v>
      </c>
      <c r="K156" s="441">
        <v>65.88</v>
      </c>
      <c r="L156" s="591">
        <f t="shared" si="15"/>
        <v>6.108735491753059E-3</v>
      </c>
      <c r="N156" s="590" t="s">
        <v>521</v>
      </c>
      <c r="O156" s="589">
        <v>340.6</v>
      </c>
      <c r="P156" s="591">
        <f t="shared" si="16"/>
        <v>-2.0391728263683073E-2</v>
      </c>
      <c r="Q156" s="351"/>
      <c r="R156" s="589" t="s">
        <v>521</v>
      </c>
      <c r="S156" s="589">
        <v>19.03</v>
      </c>
      <c r="T156" s="591">
        <f t="shared" si="17"/>
        <v>-6.2663185378588615E-3</v>
      </c>
      <c r="U156" s="351"/>
      <c r="V156" s="589" t="s">
        <v>521</v>
      </c>
      <c r="W156" s="589">
        <v>37.75</v>
      </c>
      <c r="X156" s="591">
        <f t="shared" si="18"/>
        <v>3.0576030576030533E-2</v>
      </c>
      <c r="Y156" s="351"/>
      <c r="Z156" s="590">
        <v>45221</v>
      </c>
      <c r="AA156" s="592">
        <v>4117.37</v>
      </c>
      <c r="AB156" s="591">
        <f t="shared" si="19"/>
        <v>-2.5280765880080325E-2</v>
      </c>
    </row>
    <row r="157" spans="2:28">
      <c r="B157" s="590" t="s">
        <v>522</v>
      </c>
      <c r="C157" s="589">
        <v>258.11</v>
      </c>
      <c r="D157" s="591">
        <f t="shared" si="14"/>
        <v>3.946679553783583E-2</v>
      </c>
      <c r="F157" s="590">
        <v>45214</v>
      </c>
      <c r="G157" s="589">
        <v>119.95</v>
      </c>
      <c r="H157" s="591">
        <f t="shared" si="20"/>
        <v>2.6266255989048748E-2</v>
      </c>
      <c r="J157" s="594" t="s">
        <v>522</v>
      </c>
      <c r="K157" s="441">
        <v>65.48</v>
      </c>
      <c r="L157" s="591">
        <f t="shared" si="15"/>
        <v>4.4838040529759038E-2</v>
      </c>
      <c r="N157" s="590" t="s">
        <v>522</v>
      </c>
      <c r="O157" s="589">
        <v>347.69</v>
      </c>
      <c r="P157" s="591">
        <f t="shared" si="16"/>
        <v>2.5374124160202349E-3</v>
      </c>
      <c r="Q157" s="351"/>
      <c r="R157" s="589" t="s">
        <v>522</v>
      </c>
      <c r="S157" s="589">
        <v>19.149999999999999</v>
      </c>
      <c r="T157" s="591">
        <f t="shared" si="17"/>
        <v>3.012372243141459E-2</v>
      </c>
      <c r="U157" s="351"/>
      <c r="V157" s="589" t="s">
        <v>522</v>
      </c>
      <c r="W157" s="589">
        <v>36.630000000000003</v>
      </c>
      <c r="X157" s="591">
        <f t="shared" si="18"/>
        <v>2.806623631770977E-2</v>
      </c>
      <c r="Y157" s="351"/>
      <c r="Z157" s="590">
        <v>45214</v>
      </c>
      <c r="AA157" s="592">
        <v>4224.16</v>
      </c>
      <c r="AB157" s="591">
        <f t="shared" si="19"/>
        <v>-2.3942991556872073E-2</v>
      </c>
    </row>
    <row r="158" spans="2:28">
      <c r="B158" s="590">
        <v>45148</v>
      </c>
      <c r="C158" s="589">
        <v>248.31</v>
      </c>
      <c r="D158" s="591">
        <f t="shared" si="14"/>
        <v>3.6258158085566983E-4</v>
      </c>
      <c r="F158" s="590">
        <v>45207</v>
      </c>
      <c r="G158" s="589">
        <v>116.88</v>
      </c>
      <c r="H158" s="591">
        <f t="shared" si="20"/>
        <v>-2.1597187343043722E-2</v>
      </c>
      <c r="J158" s="594">
        <v>45148</v>
      </c>
      <c r="K158" s="441">
        <v>62.67</v>
      </c>
      <c r="L158" s="591">
        <f t="shared" si="15"/>
        <v>-4.9221975230231418E-3</v>
      </c>
      <c r="N158" s="590">
        <v>45148</v>
      </c>
      <c r="O158" s="589">
        <v>346.81</v>
      </c>
      <c r="P158" s="591">
        <f t="shared" si="16"/>
        <v>1.5370652301206267E-2</v>
      </c>
      <c r="Q158" s="351"/>
      <c r="R158" s="590">
        <v>45148</v>
      </c>
      <c r="S158" s="589">
        <v>18.59</v>
      </c>
      <c r="T158" s="591">
        <f t="shared" si="17"/>
        <v>-2.2093634928984862E-2</v>
      </c>
      <c r="U158" s="351"/>
      <c r="V158" s="590">
        <v>45148</v>
      </c>
      <c r="W158" s="589">
        <v>35.630000000000003</v>
      </c>
      <c r="X158" s="591">
        <f t="shared" si="18"/>
        <v>-2.2496570644718772E-2</v>
      </c>
      <c r="Y158" s="351"/>
      <c r="Z158" s="590">
        <v>45207</v>
      </c>
      <c r="AA158" s="592">
        <v>4327.78</v>
      </c>
      <c r="AB158" s="591">
        <f t="shared" si="19"/>
        <v>4.4748752466055031E-3</v>
      </c>
    </row>
    <row r="159" spans="2:28">
      <c r="B159" s="590">
        <v>44936</v>
      </c>
      <c r="C159" s="589">
        <v>248.22</v>
      </c>
      <c r="D159" s="591">
        <f t="shared" si="14"/>
        <v>-5.7774066201032537E-2</v>
      </c>
      <c r="F159" s="590">
        <v>45200</v>
      </c>
      <c r="G159" s="589">
        <v>119.46</v>
      </c>
      <c r="H159" s="591">
        <f t="shared" si="20"/>
        <v>-4.3861053305586761E-2</v>
      </c>
      <c r="J159" s="594">
        <v>44936</v>
      </c>
      <c r="K159" s="441">
        <v>62.98</v>
      </c>
      <c r="L159" s="591">
        <f t="shared" si="15"/>
        <v>-5.4638246772740984E-2</v>
      </c>
      <c r="N159" s="590">
        <v>44936</v>
      </c>
      <c r="O159" s="589">
        <v>341.56</v>
      </c>
      <c r="P159" s="591">
        <f t="shared" si="16"/>
        <v>-9.8286649594762299E-2</v>
      </c>
      <c r="Q159" s="351"/>
      <c r="R159" s="590">
        <v>44936</v>
      </c>
      <c r="S159" s="589">
        <v>19.010000000000002</v>
      </c>
      <c r="T159" s="591">
        <f t="shared" si="17"/>
        <v>-6.8593826555609971E-2</v>
      </c>
      <c r="U159" s="351"/>
      <c r="V159" s="590">
        <v>44936</v>
      </c>
      <c r="W159" s="589">
        <v>36.450000000000003</v>
      </c>
      <c r="X159" s="591">
        <f t="shared" si="18"/>
        <v>-5.1855895196506463E-3</v>
      </c>
      <c r="Y159" s="351"/>
      <c r="Z159" s="590">
        <v>45200</v>
      </c>
      <c r="AA159" s="592">
        <v>4308.5</v>
      </c>
      <c r="AB159" s="591">
        <f t="shared" si="19"/>
        <v>4.7690675248655001E-3</v>
      </c>
    </row>
    <row r="160" spans="2:28">
      <c r="B160" s="590" t="s">
        <v>523</v>
      </c>
      <c r="C160" s="589">
        <v>263.44</v>
      </c>
      <c r="D160" s="591">
        <f t="shared" si="14"/>
        <v>-3.2253324516934967E-2</v>
      </c>
      <c r="F160" s="590">
        <v>45193</v>
      </c>
      <c r="G160" s="589">
        <v>124.94</v>
      </c>
      <c r="H160" s="591">
        <f t="shared" si="20"/>
        <v>-4.8000000000003595E-4</v>
      </c>
      <c r="J160" s="594" t="s">
        <v>523</v>
      </c>
      <c r="K160" s="441">
        <v>66.62</v>
      </c>
      <c r="L160" s="591">
        <f t="shared" si="15"/>
        <v>-1.7693895606015753E-2</v>
      </c>
      <c r="N160" s="590" t="s">
        <v>523</v>
      </c>
      <c r="O160" s="589">
        <v>378.79</v>
      </c>
      <c r="P160" s="591">
        <f t="shared" si="16"/>
        <v>-6.7129933132292763E-3</v>
      </c>
      <c r="Q160" s="351"/>
      <c r="R160" s="589" t="s">
        <v>523</v>
      </c>
      <c r="S160" s="589">
        <v>20.41</v>
      </c>
      <c r="T160" s="591">
        <f t="shared" si="17"/>
        <v>-2.9311187103077119E-3</v>
      </c>
      <c r="U160" s="351"/>
      <c r="V160" s="589" t="s">
        <v>523</v>
      </c>
      <c r="W160" s="589">
        <v>36.64</v>
      </c>
      <c r="X160" s="591">
        <f t="shared" si="18"/>
        <v>-2.3193814982671257E-2</v>
      </c>
      <c r="Y160" s="351"/>
      <c r="Z160" s="590">
        <v>45193</v>
      </c>
      <c r="AA160" s="592">
        <v>4288.05</v>
      </c>
      <c r="AB160" s="591">
        <f t="shared" si="19"/>
        <v>-7.4096193108429409E-3</v>
      </c>
    </row>
    <row r="161" spans="1:28">
      <c r="B161" s="590" t="s">
        <v>524</v>
      </c>
      <c r="C161" s="589">
        <v>272.22000000000003</v>
      </c>
      <c r="D161" s="591">
        <f t="shared" si="14"/>
        <v>-2.160083384250433E-2</v>
      </c>
      <c r="F161" s="590">
        <v>45186</v>
      </c>
      <c r="G161" s="589">
        <v>125</v>
      </c>
      <c r="H161" s="591">
        <f t="shared" si="20"/>
        <v>-2.3361200093757306E-2</v>
      </c>
      <c r="J161" s="594" t="s">
        <v>524</v>
      </c>
      <c r="K161" s="441">
        <v>67.819999999999993</v>
      </c>
      <c r="L161" s="591">
        <f t="shared" si="15"/>
        <v>-1.1081948089822213E-2</v>
      </c>
      <c r="N161" s="590" t="s">
        <v>524</v>
      </c>
      <c r="O161" s="589">
        <v>381.35</v>
      </c>
      <c r="P161" s="591">
        <f t="shared" si="16"/>
        <v>-1.8353583196046075E-2</v>
      </c>
      <c r="Q161" s="351"/>
      <c r="R161" s="589" t="s">
        <v>524</v>
      </c>
      <c r="S161" s="589">
        <v>20.47</v>
      </c>
      <c r="T161" s="591">
        <f t="shared" si="17"/>
        <v>1.7901541521631037E-2</v>
      </c>
      <c r="U161" s="351"/>
      <c r="V161" s="589" t="s">
        <v>524</v>
      </c>
      <c r="W161" s="589">
        <v>37.51</v>
      </c>
      <c r="X161" s="591">
        <f t="shared" si="18"/>
        <v>-1.934640522875819E-2</v>
      </c>
      <c r="Y161" s="351"/>
      <c r="Z161" s="590">
        <v>45186</v>
      </c>
      <c r="AA161" s="592">
        <v>4320.0600000000004</v>
      </c>
      <c r="AB161" s="591">
        <f t="shared" si="19"/>
        <v>-2.9269805317370334E-2</v>
      </c>
    </row>
    <row r="162" spans="1:28">
      <c r="B162" s="590">
        <v>45208</v>
      </c>
      <c r="C162" s="589">
        <v>278.23</v>
      </c>
      <c r="D162" s="591">
        <f t="shared" si="14"/>
        <v>-3.5455912900221875E-3</v>
      </c>
      <c r="F162" s="590">
        <v>45179</v>
      </c>
      <c r="G162" s="589">
        <v>127.99</v>
      </c>
      <c r="H162" s="591">
        <f t="shared" si="20"/>
        <v>1.1538765510155535E-2</v>
      </c>
      <c r="J162" s="594">
        <v>45208</v>
      </c>
      <c r="K162" s="441">
        <v>68.58</v>
      </c>
      <c r="L162" s="591">
        <f t="shared" si="15"/>
        <v>1.3447613418058113E-2</v>
      </c>
      <c r="N162" s="590">
        <v>45208</v>
      </c>
      <c r="O162" s="589">
        <v>388.48</v>
      </c>
      <c r="P162" s="591">
        <f t="shared" si="16"/>
        <v>2.8654774504994762E-3</v>
      </c>
      <c r="Q162" s="351"/>
      <c r="R162" s="590">
        <v>45208</v>
      </c>
      <c r="S162" s="589">
        <v>20.11</v>
      </c>
      <c r="T162" s="591">
        <f t="shared" si="17"/>
        <v>2.1330624682579957E-2</v>
      </c>
      <c r="U162" s="351"/>
      <c r="V162" s="590">
        <v>45208</v>
      </c>
      <c r="W162" s="589">
        <v>38.25</v>
      </c>
      <c r="X162" s="591">
        <f t="shared" si="18"/>
        <v>-1.6709511568123392E-2</v>
      </c>
      <c r="Y162" s="351"/>
      <c r="Z162" s="590">
        <v>45179</v>
      </c>
      <c r="AA162" s="592">
        <v>4450.32</v>
      </c>
      <c r="AB162" s="591">
        <f t="shared" si="19"/>
        <v>-1.6085285665251581E-3</v>
      </c>
    </row>
    <row r="163" spans="1:28">
      <c r="B163" s="590">
        <v>44994</v>
      </c>
      <c r="C163" s="589">
        <v>279.22000000000003</v>
      </c>
      <c r="D163" s="591">
        <f t="shared" si="14"/>
        <v>-6.1223036947389842E-3</v>
      </c>
      <c r="F163" s="590">
        <v>45172</v>
      </c>
      <c r="G163" s="589">
        <v>126.53</v>
      </c>
      <c r="H163" s="591">
        <f t="shared" si="20"/>
        <v>-2.3989509410675569E-2</v>
      </c>
      <c r="J163" s="594">
        <v>44994</v>
      </c>
      <c r="K163" s="441">
        <v>67.67</v>
      </c>
      <c r="L163" s="591">
        <f t="shared" si="15"/>
        <v>-3.1902718168812627E-2</v>
      </c>
      <c r="N163" s="590">
        <v>44994</v>
      </c>
      <c r="O163" s="589">
        <v>387.37</v>
      </c>
      <c r="P163" s="591">
        <f t="shared" si="16"/>
        <v>-9.6384926113411984E-3</v>
      </c>
      <c r="Q163" s="351"/>
      <c r="R163" s="590">
        <v>44994</v>
      </c>
      <c r="S163" s="589">
        <v>19.690000000000001</v>
      </c>
      <c r="T163" s="591">
        <f t="shared" si="17"/>
        <v>-1.2537612838515511E-2</v>
      </c>
      <c r="U163" s="351"/>
      <c r="V163" s="590">
        <v>44994</v>
      </c>
      <c r="W163" s="589">
        <v>38.9</v>
      </c>
      <c r="X163" s="591">
        <f t="shared" si="18"/>
        <v>3.3531080732522867E-3</v>
      </c>
      <c r="Y163" s="351"/>
      <c r="Z163" s="590">
        <v>45172</v>
      </c>
      <c r="AA163" s="592">
        <v>4457.49</v>
      </c>
      <c r="AB163" s="591">
        <f t="shared" si="19"/>
        <v>-1.290588316056851E-2</v>
      </c>
    </row>
    <row r="164" spans="1:28">
      <c r="B164" s="590" t="s">
        <v>525</v>
      </c>
      <c r="C164" s="589">
        <v>280.94</v>
      </c>
      <c r="D164" s="591">
        <f t="shared" si="14"/>
        <v>-1.2790779394194929E-2</v>
      </c>
      <c r="F164" s="590">
        <v>45165</v>
      </c>
      <c r="G164" s="589">
        <v>129.63999999999999</v>
      </c>
      <c r="H164" s="591">
        <f t="shared" si="20"/>
        <v>-7.7077231385869194E-4</v>
      </c>
      <c r="J164" s="594" t="s">
        <v>525</v>
      </c>
      <c r="K164" s="441">
        <v>69.900000000000006</v>
      </c>
      <c r="L164" s="591">
        <f t="shared" si="15"/>
        <v>2.9606716747680117E-2</v>
      </c>
      <c r="N164" s="590" t="s">
        <v>525</v>
      </c>
      <c r="O164" s="589">
        <v>391.14</v>
      </c>
      <c r="P164" s="591">
        <f t="shared" si="16"/>
        <v>2.7369195209077324E-2</v>
      </c>
      <c r="Q164" s="351"/>
      <c r="R164" s="589" t="s">
        <v>525</v>
      </c>
      <c r="S164" s="589">
        <v>19.940000000000001</v>
      </c>
      <c r="T164" s="591">
        <f t="shared" si="17"/>
        <v>-1.1892963330029649E-2</v>
      </c>
      <c r="U164" s="351"/>
      <c r="V164" s="589" t="s">
        <v>525</v>
      </c>
      <c r="W164" s="589">
        <v>38.770000000000003</v>
      </c>
      <c r="X164" s="591">
        <f t="shared" si="18"/>
        <v>3.276505061267998E-2</v>
      </c>
      <c r="Y164" s="351"/>
      <c r="Z164" s="590">
        <v>45165</v>
      </c>
      <c r="AA164" s="592">
        <v>4515.7700000000004</v>
      </c>
      <c r="AB164" s="591">
        <f t="shared" si="19"/>
        <v>2.4981217556307778E-2</v>
      </c>
    </row>
    <row r="165" spans="1:28">
      <c r="B165" s="590" t="s">
        <v>526</v>
      </c>
      <c r="C165" s="589">
        <v>284.58</v>
      </c>
      <c r="D165" s="591">
        <f t="shared" si="14"/>
        <v>1.0080215801802961E-2</v>
      </c>
      <c r="F165" s="590">
        <v>45158</v>
      </c>
      <c r="G165" s="589">
        <v>129.74</v>
      </c>
      <c r="H165" s="591">
        <f t="shared" si="20"/>
        <v>4.801734820322201E-3</v>
      </c>
      <c r="J165" s="594" t="s">
        <v>526</v>
      </c>
      <c r="K165" s="441">
        <v>67.89</v>
      </c>
      <c r="L165" s="591">
        <f t="shared" si="15"/>
        <v>-1.1646527878876101E-2</v>
      </c>
      <c r="N165" s="590" t="s">
        <v>526</v>
      </c>
      <c r="O165" s="589">
        <v>380.72</v>
      </c>
      <c r="P165" s="591">
        <f t="shared" si="16"/>
        <v>4.9890452181717837E-3</v>
      </c>
      <c r="Q165" s="351"/>
      <c r="R165" s="589" t="s">
        <v>526</v>
      </c>
      <c r="S165" s="589">
        <v>20.18</v>
      </c>
      <c r="T165" s="591">
        <f t="shared" si="17"/>
        <v>-2.2286821705426396E-2</v>
      </c>
      <c r="U165" s="351"/>
      <c r="V165" s="589" t="s">
        <v>526</v>
      </c>
      <c r="W165" s="589">
        <v>37.54</v>
      </c>
      <c r="X165" s="591">
        <f t="shared" si="18"/>
        <v>1.5143320713899566E-2</v>
      </c>
      <c r="Y165" s="351"/>
      <c r="Z165" s="590">
        <v>45158</v>
      </c>
      <c r="AA165" s="592">
        <v>4405.71</v>
      </c>
      <c r="AB165" s="591">
        <f t="shared" si="19"/>
        <v>8.2385329918919226E-3</v>
      </c>
    </row>
    <row r="166" spans="1:28">
      <c r="B166" s="590" t="s">
        <v>527</v>
      </c>
      <c r="C166" s="589">
        <v>281.74</v>
      </c>
      <c r="D166" s="591">
        <f t="shared" si="14"/>
        <v>-2.3837571893839615E-2</v>
      </c>
      <c r="F166" s="590">
        <v>45151</v>
      </c>
      <c r="G166" s="589">
        <v>129.12</v>
      </c>
      <c r="H166" s="591">
        <f t="shared" si="20"/>
        <v>-3.7853949329359038E-2</v>
      </c>
      <c r="J166" s="594" t="s">
        <v>527</v>
      </c>
      <c r="K166" s="441">
        <v>68.69</v>
      </c>
      <c r="L166" s="591">
        <f t="shared" si="15"/>
        <v>-5.8654241469096924E-2</v>
      </c>
      <c r="N166" s="590" t="s">
        <v>527</v>
      </c>
      <c r="O166" s="589">
        <v>378.83</v>
      </c>
      <c r="P166" s="591">
        <f t="shared" si="16"/>
        <v>-3.8917218459040614E-2</v>
      </c>
      <c r="Q166" s="351"/>
      <c r="R166" s="589" t="s">
        <v>527</v>
      </c>
      <c r="S166" s="589">
        <v>20.64</v>
      </c>
      <c r="T166" s="591">
        <f t="shared" si="17"/>
        <v>-4.1337668369716751E-2</v>
      </c>
      <c r="U166" s="351"/>
      <c r="V166" s="589" t="s">
        <v>527</v>
      </c>
      <c r="W166" s="589">
        <v>36.979999999999997</v>
      </c>
      <c r="X166" s="591">
        <f t="shared" si="18"/>
        <v>1.3539128080151119E-3</v>
      </c>
      <c r="Y166" s="351"/>
      <c r="Z166" s="590">
        <v>45151</v>
      </c>
      <c r="AA166" s="592">
        <v>4369.71</v>
      </c>
      <c r="AB166" s="591">
        <f t="shared" si="19"/>
        <v>-2.1133275836964227E-2</v>
      </c>
    </row>
    <row r="167" spans="1:28">
      <c r="B167" s="590">
        <v>45085</v>
      </c>
      <c r="C167" s="589">
        <v>288.62</v>
      </c>
      <c r="D167" s="591">
        <f t="shared" si="14"/>
        <v>5.5745244233851299E-3</v>
      </c>
      <c r="F167" s="590">
        <v>45144</v>
      </c>
      <c r="G167" s="589">
        <v>134.19999999999999</v>
      </c>
      <c r="H167" s="591">
        <f t="shared" si="20"/>
        <v>-1.1164867882397234E-3</v>
      </c>
      <c r="J167" s="594">
        <v>45085</v>
      </c>
      <c r="K167" s="441">
        <v>72.97</v>
      </c>
      <c r="L167" s="591">
        <f t="shared" si="15"/>
        <v>-6.6702967601415253E-3</v>
      </c>
      <c r="N167" s="590">
        <v>45085</v>
      </c>
      <c r="O167" s="589">
        <v>394.17</v>
      </c>
      <c r="P167" s="591">
        <f t="shared" si="16"/>
        <v>-3.009915014164255E-3</v>
      </c>
      <c r="Q167" s="351"/>
      <c r="R167" s="590">
        <v>45085</v>
      </c>
      <c r="S167" s="589">
        <v>21.53</v>
      </c>
      <c r="T167" s="591">
        <f t="shared" si="17"/>
        <v>-2.7790643816580918E-3</v>
      </c>
      <c r="U167" s="351"/>
      <c r="V167" s="590">
        <v>45085</v>
      </c>
      <c r="W167" s="589">
        <v>36.93</v>
      </c>
      <c r="X167" s="591">
        <f t="shared" si="18"/>
        <v>-2.3274266067178084E-2</v>
      </c>
      <c r="Y167" s="351"/>
      <c r="Z167" s="590">
        <v>45144</v>
      </c>
      <c r="AA167" s="592">
        <v>4464.05</v>
      </c>
      <c r="AB167" s="591">
        <f t="shared" si="19"/>
        <v>-3.1219085178079142E-3</v>
      </c>
    </row>
    <row r="168" spans="1:28">
      <c r="B168" s="590" t="s">
        <v>528</v>
      </c>
      <c r="C168" s="589">
        <v>287.02</v>
      </c>
      <c r="D168" s="591">
        <f t="shared" si="14"/>
        <v>-2.3841104649185429E-2</v>
      </c>
      <c r="F168" s="590">
        <v>45137</v>
      </c>
      <c r="G168" s="589">
        <v>134.35</v>
      </c>
      <c r="H168" s="591">
        <f t="shared" si="20"/>
        <v>-1.891339272674164E-2</v>
      </c>
      <c r="J168" s="594" t="s">
        <v>528</v>
      </c>
      <c r="K168" s="441">
        <v>73.459999999999994</v>
      </c>
      <c r="L168" s="591">
        <f t="shared" si="15"/>
        <v>-4.4857625796385414E-2</v>
      </c>
      <c r="N168" s="590" t="s">
        <v>528</v>
      </c>
      <c r="O168" s="589">
        <v>395.36</v>
      </c>
      <c r="P168" s="591">
        <f t="shared" si="16"/>
        <v>-1.3769706645380131E-2</v>
      </c>
      <c r="Q168" s="351"/>
      <c r="R168" s="589" t="s">
        <v>528</v>
      </c>
      <c r="S168" s="589">
        <v>21.59</v>
      </c>
      <c r="T168" s="591">
        <f t="shared" si="17"/>
        <v>6.5268065268064834E-3</v>
      </c>
      <c r="U168" s="351"/>
      <c r="V168" s="589" t="s">
        <v>528</v>
      </c>
      <c r="W168" s="589">
        <v>37.81</v>
      </c>
      <c r="X168" s="591">
        <f t="shared" si="18"/>
        <v>-1.1503267973856146E-2</v>
      </c>
      <c r="Y168" s="351"/>
      <c r="Z168" s="590">
        <v>45137</v>
      </c>
      <c r="AA168" s="592">
        <v>4478.03</v>
      </c>
      <c r="AB168" s="591">
        <f t="shared" si="19"/>
        <v>-2.2740019597444872E-2</v>
      </c>
    </row>
    <row r="169" spans="1:28">
      <c r="B169" s="590" t="s">
        <v>529</v>
      </c>
      <c r="C169" s="589">
        <v>294.02999999999997</v>
      </c>
      <c r="D169" s="591">
        <f t="shared" si="14"/>
        <v>-5.344880078481884E-3</v>
      </c>
      <c r="F169" s="590">
        <v>45130</v>
      </c>
      <c r="G169" s="589">
        <v>136.94</v>
      </c>
      <c r="H169" s="591">
        <f t="shared" si="20"/>
        <v>-4.362367311327553E-3</v>
      </c>
      <c r="J169" s="594" t="s">
        <v>529</v>
      </c>
      <c r="K169" s="441">
        <v>76.91</v>
      </c>
      <c r="L169" s="591">
        <f t="shared" si="15"/>
        <v>-9.7849877687653519E-3</v>
      </c>
      <c r="N169" s="590" t="s">
        <v>529</v>
      </c>
      <c r="O169" s="589">
        <v>400.88</v>
      </c>
      <c r="P169" s="591">
        <f t="shared" si="16"/>
        <v>4.005811540058124E-2</v>
      </c>
      <c r="Q169" s="351"/>
      <c r="R169" s="589" t="s">
        <v>529</v>
      </c>
      <c r="S169" s="589">
        <v>21.45</v>
      </c>
      <c r="T169" s="591">
        <f t="shared" si="17"/>
        <v>-7.8630897317299997E-3</v>
      </c>
      <c r="U169" s="351"/>
      <c r="V169" s="589" t="s">
        <v>529</v>
      </c>
      <c r="W169" s="589">
        <v>38.25</v>
      </c>
      <c r="X169" s="591">
        <f t="shared" si="18"/>
        <v>-8.8851834206765012E-2</v>
      </c>
      <c r="Y169" s="351"/>
      <c r="Z169" s="590">
        <v>45130</v>
      </c>
      <c r="AA169" s="592">
        <v>4582.2299999999996</v>
      </c>
      <c r="AB169" s="591">
        <f t="shared" si="19"/>
        <v>1.0116084773187151E-2</v>
      </c>
    </row>
    <row r="170" spans="1:28">
      <c r="B170" s="590" t="s">
        <v>530</v>
      </c>
      <c r="C170" s="589">
        <v>295.61</v>
      </c>
      <c r="D170" s="591">
        <f t="shared" si="14"/>
        <v>2.2716484708755758E-3</v>
      </c>
      <c r="F170" s="590">
        <v>45123</v>
      </c>
      <c r="G170" s="589">
        <v>137.54</v>
      </c>
      <c r="H170" s="591">
        <f t="shared" si="20"/>
        <v>1.4606078489229679E-2</v>
      </c>
      <c r="J170" s="594" t="s">
        <v>530</v>
      </c>
      <c r="K170" s="441">
        <v>77.67</v>
      </c>
      <c r="L170" s="591">
        <f t="shared" si="15"/>
        <v>4.9165480657265004E-3</v>
      </c>
      <c r="N170" s="590" t="s">
        <v>530</v>
      </c>
      <c r="O170" s="589">
        <v>385.44</v>
      </c>
      <c r="P170" s="591">
        <f t="shared" si="16"/>
        <v>2.027764779285457E-3</v>
      </c>
      <c r="Q170" s="351"/>
      <c r="R170" s="589" t="s">
        <v>530</v>
      </c>
      <c r="S170" s="589">
        <v>21.62</v>
      </c>
      <c r="T170" s="591">
        <f t="shared" si="17"/>
        <v>1.2172284644194731E-2</v>
      </c>
      <c r="U170" s="351"/>
      <c r="V170" s="589" t="s">
        <v>530</v>
      </c>
      <c r="W170" s="589">
        <v>41.98</v>
      </c>
      <c r="X170" s="591">
        <f t="shared" si="18"/>
        <v>2.0914396887159459E-2</v>
      </c>
      <c r="Y170" s="351"/>
      <c r="Z170" s="590">
        <v>45123</v>
      </c>
      <c r="AA170" s="592">
        <v>4536.34</v>
      </c>
      <c r="AB170" s="591">
        <f t="shared" si="19"/>
        <v>6.8628451953425262E-3</v>
      </c>
    </row>
    <row r="171" spans="1:28">
      <c r="B171" s="590">
        <v>45176</v>
      </c>
      <c r="C171" s="589">
        <v>294.94</v>
      </c>
      <c r="D171" s="591">
        <f t="shared" si="14"/>
        <v>9.7226977062649933E-3</v>
      </c>
      <c r="F171" s="590">
        <v>45116</v>
      </c>
      <c r="G171" s="589">
        <v>135.56</v>
      </c>
      <c r="H171" s="591">
        <f t="shared" si="20"/>
        <v>1.5811165230423585E-2</v>
      </c>
      <c r="J171" s="594">
        <v>45176</v>
      </c>
      <c r="K171" s="441">
        <v>77.290000000000006</v>
      </c>
      <c r="L171" s="591">
        <f t="shared" si="15"/>
        <v>2.4251258945136689E-2</v>
      </c>
      <c r="N171" s="590">
        <v>45176</v>
      </c>
      <c r="O171" s="589">
        <v>384.66</v>
      </c>
      <c r="P171" s="591">
        <f t="shared" si="16"/>
        <v>0.12579021306485605</v>
      </c>
      <c r="Q171" s="351"/>
      <c r="R171" s="590">
        <v>45176</v>
      </c>
      <c r="S171" s="589">
        <v>21.36</v>
      </c>
      <c r="T171" s="591">
        <f t="shared" si="17"/>
        <v>1.8761726078799779E-3</v>
      </c>
      <c r="U171" s="351"/>
      <c r="V171" s="590">
        <v>45176</v>
      </c>
      <c r="W171" s="589">
        <v>41.12</v>
      </c>
      <c r="X171" s="591">
        <f t="shared" si="18"/>
        <v>-1.0348977135980708E-2</v>
      </c>
      <c r="Y171" s="351"/>
      <c r="Z171" s="590">
        <v>45116</v>
      </c>
      <c r="AA171" s="592">
        <v>4505.42</v>
      </c>
      <c r="AB171" s="591">
        <f t="shared" si="19"/>
        <v>2.4203503108696456E-2</v>
      </c>
    </row>
    <row r="172" spans="1:28">
      <c r="B172" s="590">
        <v>44964</v>
      </c>
      <c r="C172" s="589">
        <v>292.10000000000002</v>
      </c>
      <c r="D172" s="591"/>
      <c r="F172" s="590">
        <v>45109</v>
      </c>
      <c r="G172" s="589">
        <v>133.44999999999999</v>
      </c>
      <c r="H172" s="591"/>
      <c r="J172" s="594">
        <v>44964</v>
      </c>
      <c r="K172" s="441">
        <v>75.459999999999994</v>
      </c>
      <c r="L172" s="591"/>
      <c r="N172" s="590">
        <v>44964</v>
      </c>
      <c r="O172" s="589">
        <v>341.68</v>
      </c>
      <c r="P172" s="591"/>
      <c r="Q172" s="351"/>
      <c r="R172" s="590">
        <v>44964</v>
      </c>
      <c r="S172" s="589">
        <v>21.32</v>
      </c>
      <c r="T172" s="591"/>
      <c r="U172" s="351"/>
      <c r="V172" s="590">
        <v>44964</v>
      </c>
      <c r="W172" s="589">
        <v>41.55</v>
      </c>
      <c r="X172" s="591"/>
      <c r="Y172" s="351"/>
      <c r="Z172" s="590">
        <v>45109</v>
      </c>
      <c r="AA172" s="592">
        <v>4398.95</v>
      </c>
      <c r="AB172" s="591"/>
    </row>
    <row r="173" spans="1:28">
      <c r="B173" s="353"/>
      <c r="C173" s="348"/>
      <c r="D173" s="349"/>
      <c r="F173" s="505"/>
      <c r="G173" s="348"/>
      <c r="H173" s="349"/>
      <c r="J173" s="350"/>
      <c r="K173" s="348"/>
      <c r="L173" s="349"/>
      <c r="N173" s="350"/>
      <c r="O173" s="348"/>
      <c r="P173" s="349"/>
      <c r="Q173" s="351"/>
      <c r="R173" s="350"/>
      <c r="T173" s="349"/>
      <c r="U173" s="351"/>
      <c r="V173" s="350"/>
      <c r="W173" s="348"/>
      <c r="X173" s="349"/>
      <c r="Y173" s="351"/>
      <c r="Z173" s="350"/>
      <c r="AA173" s="352"/>
      <c r="AB173" s="349"/>
    </row>
    <row r="174" spans="1:28">
      <c r="A174" s="54"/>
      <c r="B174" s="499"/>
      <c r="C174" s="500"/>
      <c r="D174" s="501"/>
      <c r="E174" s="54"/>
      <c r="F174" s="506"/>
      <c r="G174" s="500"/>
      <c r="H174" s="501"/>
      <c r="I174" s="54"/>
      <c r="J174" s="502"/>
      <c r="K174" s="500"/>
      <c r="L174" s="501"/>
      <c r="M174" s="54"/>
      <c r="N174" s="502"/>
      <c r="O174" s="500"/>
      <c r="P174" s="501"/>
      <c r="Q174" s="503"/>
      <c r="R174" s="502"/>
      <c r="S174" s="54"/>
      <c r="T174" s="349"/>
      <c r="U174" s="503"/>
      <c r="V174" s="502"/>
      <c r="W174" s="500"/>
      <c r="X174" s="501"/>
      <c r="Y174" s="503"/>
      <c r="Z174" s="502"/>
      <c r="AA174" s="504"/>
      <c r="AB174" s="501"/>
    </row>
    <row r="175" spans="1:28">
      <c r="B175" s="507" t="s">
        <v>435</v>
      </c>
      <c r="F175" s="507" t="s">
        <v>435</v>
      </c>
      <c r="G175" s="441"/>
      <c r="J175" s="507" t="s">
        <v>435</v>
      </c>
      <c r="N175" s="507" t="s">
        <v>435</v>
      </c>
      <c r="R175" s="507" t="s">
        <v>435</v>
      </c>
      <c r="T175" s="349"/>
      <c r="V175" s="507" t="s">
        <v>435</v>
      </c>
      <c r="Z175" s="507" t="s">
        <v>435</v>
      </c>
      <c r="AA175" s="441"/>
    </row>
  </sheetData>
  <mergeCells count="9">
    <mergeCell ref="H4:P8"/>
    <mergeCell ref="Z14:AB14"/>
    <mergeCell ref="R14:T14"/>
    <mergeCell ref="V14:X14"/>
    <mergeCell ref="B14:D14"/>
    <mergeCell ref="F14:H14"/>
    <mergeCell ref="J14:L14"/>
    <mergeCell ref="N14:P14"/>
    <mergeCell ref="C12:F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83"/>
  <sheetViews>
    <sheetView showGridLines="0" zoomScale="90" zoomScaleNormal="90" workbookViewId="0">
      <selection activeCell="Q65" sqref="Q65"/>
    </sheetView>
  </sheetViews>
  <sheetFormatPr defaultColWidth="8.6640625" defaultRowHeight="15.6"/>
  <cols>
    <col min="1" max="1" width="8.6640625" style="17"/>
    <col min="2" max="2" width="47" style="17" customWidth="1"/>
    <col min="3" max="3" width="22.33203125" style="515" customWidth="1"/>
    <col min="4" max="4" width="21" style="515" customWidth="1"/>
    <col min="5" max="5" width="20.6640625" style="515" customWidth="1"/>
    <col min="6" max="6" width="18.21875" style="515" customWidth="1"/>
    <col min="7" max="7" width="19.88671875" style="515" customWidth="1"/>
    <col min="8" max="8" width="18.33203125" style="527" customWidth="1"/>
    <col min="9" max="9" width="20.6640625" style="17" customWidth="1"/>
    <col min="10" max="10" width="16.88671875" style="17" customWidth="1"/>
    <col min="11" max="11" width="26.6640625" style="17" customWidth="1"/>
    <col min="12" max="12" width="22.44140625" style="17" customWidth="1"/>
    <col min="13" max="13" width="17.88671875" style="17" customWidth="1"/>
    <col min="14" max="14" width="12.6640625" style="17" customWidth="1"/>
    <col min="15" max="15" width="10.5546875" style="17" bestFit="1" customWidth="1"/>
    <col min="16" max="16" width="10.44140625" style="17" bestFit="1" customWidth="1"/>
    <col min="17" max="16384" width="8.6640625" style="17"/>
  </cols>
  <sheetData>
    <row r="1" spans="1:16">
      <c r="A1" s="18"/>
      <c r="B1" s="1" t="s">
        <v>407</v>
      </c>
      <c r="C1" s="514"/>
      <c r="D1" s="514"/>
      <c r="E1" s="514"/>
      <c r="F1" s="514"/>
      <c r="G1" s="514"/>
      <c r="H1" s="545"/>
      <c r="I1" s="18"/>
      <c r="J1" s="18"/>
      <c r="K1" s="18"/>
      <c r="L1" s="18"/>
      <c r="M1" s="18"/>
      <c r="N1" s="18"/>
      <c r="O1" s="18"/>
    </row>
    <row r="2" spans="1:16" ht="18">
      <c r="A2" s="19"/>
      <c r="B2" s="20" t="s">
        <v>13</v>
      </c>
      <c r="E2" s="574"/>
      <c r="G2" s="517"/>
      <c r="H2" s="546"/>
      <c r="I2" s="19"/>
      <c r="J2" s="19"/>
      <c r="K2" s="19"/>
      <c r="L2" s="19"/>
      <c r="M2" s="19"/>
      <c r="N2" s="19"/>
      <c r="O2" s="19"/>
    </row>
    <row r="3" spans="1:16" ht="6.75" customHeight="1" thickBot="1">
      <c r="A3" s="19"/>
      <c r="B3" s="20"/>
      <c r="E3" s="574"/>
      <c r="G3" s="517"/>
      <c r="H3" s="546"/>
      <c r="I3" s="19"/>
      <c r="J3" s="19"/>
      <c r="K3" s="19"/>
      <c r="L3" s="19"/>
      <c r="M3" s="19"/>
      <c r="N3" s="19"/>
      <c r="O3" s="19"/>
    </row>
    <row r="4" spans="1:16" ht="21.6" thickBot="1">
      <c r="A4" s="19"/>
      <c r="B4" s="301" t="s">
        <v>253</v>
      </c>
      <c r="E4" s="574"/>
      <c r="F4" s="559" t="s">
        <v>255</v>
      </c>
      <c r="G4" s="535"/>
      <c r="H4" s="546"/>
      <c r="I4" s="19"/>
      <c r="J4" s="19"/>
      <c r="K4" s="691" t="s">
        <v>254</v>
      </c>
      <c r="L4" s="692"/>
      <c r="M4" s="19"/>
      <c r="N4" s="19"/>
      <c r="O4" s="19"/>
    </row>
    <row r="5" spans="1:16" ht="18">
      <c r="A5" s="19"/>
      <c r="B5" s="20"/>
      <c r="E5" s="574"/>
      <c r="G5" s="517"/>
      <c r="H5" s="546"/>
      <c r="I5" s="19"/>
      <c r="J5" s="19"/>
      <c r="K5" s="19"/>
      <c r="L5" s="19"/>
      <c r="M5" s="19"/>
      <c r="N5" s="19"/>
      <c r="O5" s="19"/>
    </row>
    <row r="6" spans="1:16" ht="31.2">
      <c r="A6" s="19"/>
      <c r="B6" s="26" t="s">
        <v>246</v>
      </c>
      <c r="C6" s="293">
        <v>1</v>
      </c>
      <c r="D6" s="517" t="str">
        <f>IF(C6=A30,B30,B31)</f>
        <v>Bottoms Up Beta</v>
      </c>
      <c r="F6" s="606" t="s">
        <v>247</v>
      </c>
      <c r="G6" s="293">
        <v>2</v>
      </c>
      <c r="H6" s="547"/>
      <c r="I6" s="19"/>
      <c r="J6" s="19"/>
      <c r="K6" s="633" t="s">
        <v>91</v>
      </c>
      <c r="L6" s="634" t="s">
        <v>94</v>
      </c>
      <c r="M6" s="635" t="s">
        <v>91</v>
      </c>
      <c r="N6" s="634" t="s">
        <v>95</v>
      </c>
      <c r="O6" s="636" t="s">
        <v>93</v>
      </c>
    </row>
    <row r="7" spans="1:16">
      <c r="A7" s="19"/>
      <c r="B7" s="686" t="s">
        <v>245</v>
      </c>
      <c r="C7" s="686"/>
      <c r="D7" s="686"/>
      <c r="E7" s="560">
        <v>1</v>
      </c>
      <c r="F7" s="602" t="str">
        <f>K33</f>
        <v>Cost of debt (using historical wgted avg interest rate)</v>
      </c>
      <c r="H7" s="546"/>
      <c r="I7" s="19"/>
      <c r="J7" s="19"/>
      <c r="K7" s="637" t="s">
        <v>98</v>
      </c>
      <c r="L7" s="638">
        <f>E27</f>
        <v>2.2410703029597561E-2</v>
      </c>
      <c r="M7" s="639" t="s">
        <v>99</v>
      </c>
      <c r="N7" s="640">
        <f>I12</f>
        <v>4.3228799999999998E-2</v>
      </c>
      <c r="O7" s="641">
        <f>N7*L7</f>
        <v>9.6878779912586697E-4</v>
      </c>
    </row>
    <row r="8" spans="1:16">
      <c r="A8" s="19"/>
      <c r="B8" s="295"/>
      <c r="C8" s="516"/>
      <c r="D8" s="516"/>
      <c r="E8" s="560">
        <v>2</v>
      </c>
      <c r="F8" s="602" t="str">
        <f>K40</f>
        <v>Cost of debt (using Credit Rating Method)</v>
      </c>
      <c r="H8" s="546"/>
      <c r="I8" s="19"/>
      <c r="J8" s="19"/>
      <c r="K8" s="642" t="s">
        <v>100</v>
      </c>
      <c r="L8" s="643">
        <f>G27</f>
        <v>0.97758929697040242</v>
      </c>
      <c r="M8" s="644" t="s">
        <v>101</v>
      </c>
      <c r="N8" s="645">
        <f>D14</f>
        <v>6.5066452105989978E-2</v>
      </c>
      <c r="O8" s="646">
        <f>N8*L8</f>
        <v>6.3608267170653099E-2</v>
      </c>
    </row>
    <row r="9" spans="1:16" ht="15.75" customHeight="1" thickBot="1">
      <c r="A9" s="19"/>
      <c r="B9" s="21" t="s">
        <v>257</v>
      </c>
      <c r="C9" s="517"/>
      <c r="D9" s="517"/>
      <c r="E9" s="560">
        <v>3</v>
      </c>
      <c r="F9" s="602" t="str">
        <f>K50</f>
        <v>Cost of debt (using Synthetic Rating Method)</v>
      </c>
      <c r="K9" s="38" t="s">
        <v>103</v>
      </c>
      <c r="L9" s="30"/>
      <c r="M9" s="30"/>
      <c r="N9" s="604" t="s">
        <v>103</v>
      </c>
      <c r="O9" s="605">
        <f>O7+O8</f>
        <v>6.457705496977896E-2</v>
      </c>
      <c r="P9" s="19"/>
    </row>
    <row r="10" spans="1:16" ht="16.2" thickTop="1">
      <c r="A10" s="19"/>
      <c r="B10" s="311" t="s">
        <v>91</v>
      </c>
      <c r="C10" s="509" t="s">
        <v>92</v>
      </c>
      <c r="D10" s="578" t="s">
        <v>93</v>
      </c>
      <c r="E10" s="575"/>
      <c r="P10" s="19"/>
    </row>
    <row r="11" spans="1:16" ht="18" customHeight="1" thickBot="1">
      <c r="A11" s="19"/>
      <c r="B11" s="312" t="s">
        <v>96</v>
      </c>
      <c r="C11" s="510" t="s">
        <v>97</v>
      </c>
      <c r="D11" s="607">
        <v>4.3619999999999999E-2</v>
      </c>
      <c r="F11" s="561" t="s">
        <v>249</v>
      </c>
      <c r="P11" s="19"/>
    </row>
    <row r="12" spans="1:16" ht="16.2" thickBot="1">
      <c r="A12" s="19"/>
      <c r="B12" s="313" t="s">
        <v>84</v>
      </c>
      <c r="C12" s="511" t="str">
        <f>D6</f>
        <v>Bottoms Up Beta</v>
      </c>
      <c r="D12" s="608">
        <f>CHOOSE(C6,C30,C31)</f>
        <v>0.42637081721650061</v>
      </c>
      <c r="F12" s="603" t="str">
        <f>IF(G6=E7, F7, IF(G6=E8, F8, F9))</f>
        <v>Cost of debt (using Credit Rating Method)</v>
      </c>
      <c r="I12" s="624">
        <f>CHOOSE(G6,M37,M47,M56)</f>
        <v>4.3228799999999998E-2</v>
      </c>
      <c r="P12" s="19"/>
    </row>
    <row r="13" spans="1:16" ht="15.75" customHeight="1" thickBot="1">
      <c r="A13" s="19"/>
      <c r="B13" s="313" t="s">
        <v>102</v>
      </c>
      <c r="C13" s="511"/>
      <c r="D13" s="609">
        <v>5.0299999999999997E-2</v>
      </c>
      <c r="P13" s="19"/>
    </row>
    <row r="14" spans="1:16" ht="16.2" thickBot="1">
      <c r="A14" s="19"/>
      <c r="B14" s="314" t="s">
        <v>256</v>
      </c>
      <c r="C14" s="518"/>
      <c r="D14" s="610">
        <f>D11+(D12*D13)</f>
        <v>6.5066452105989978E-2</v>
      </c>
      <c r="E14" s="576"/>
      <c r="F14" s="562"/>
      <c r="G14" s="523"/>
      <c r="H14" s="548"/>
      <c r="I14" s="23"/>
      <c r="J14" s="24"/>
      <c r="K14" s="39"/>
      <c r="L14" s="23"/>
      <c r="M14" s="23"/>
      <c r="N14" s="23"/>
      <c r="O14" s="19"/>
    </row>
    <row r="15" spans="1:16">
      <c r="A15" s="19"/>
      <c r="B15" s="25"/>
      <c r="C15" s="519"/>
      <c r="D15" s="579"/>
      <c r="E15" s="575"/>
      <c r="H15" s="546"/>
      <c r="I15" s="19"/>
      <c r="J15" s="19"/>
      <c r="K15" s="19"/>
      <c r="L15" s="19"/>
      <c r="M15" s="19"/>
      <c r="N15" s="19"/>
      <c r="O15" s="19"/>
    </row>
    <row r="16" spans="1:16">
      <c r="A16" s="19"/>
      <c r="B16" s="698" t="s">
        <v>218</v>
      </c>
      <c r="C16" s="698"/>
      <c r="H16" s="549"/>
      <c r="I16" s="28"/>
      <c r="J16" s="19"/>
      <c r="K16" s="19"/>
      <c r="L16" s="19"/>
      <c r="M16" s="19"/>
      <c r="N16" s="19"/>
      <c r="O16" s="19"/>
    </row>
    <row r="17" spans="1:17" s="254" customFormat="1" ht="62.4">
      <c r="A17" s="26"/>
      <c r="B17" s="296" t="s">
        <v>91</v>
      </c>
      <c r="C17" s="512" t="s">
        <v>219</v>
      </c>
      <c r="D17" s="512" t="s">
        <v>220</v>
      </c>
      <c r="E17" s="512" t="s">
        <v>221</v>
      </c>
      <c r="F17" s="512" t="s">
        <v>222</v>
      </c>
      <c r="G17" s="512" t="s">
        <v>223</v>
      </c>
      <c r="H17" s="27" t="s">
        <v>224</v>
      </c>
      <c r="I17" s="27" t="s">
        <v>225</v>
      </c>
      <c r="J17" s="300" t="s">
        <v>105</v>
      </c>
      <c r="K17" s="40"/>
      <c r="L17" s="253"/>
      <c r="M17" s="26"/>
      <c r="N17" s="26"/>
      <c r="O17" s="26"/>
      <c r="P17" s="26"/>
      <c r="Q17" s="26"/>
    </row>
    <row r="18" spans="1:17">
      <c r="A18" s="28"/>
      <c r="B18" s="256" t="s">
        <v>429</v>
      </c>
      <c r="C18" s="513">
        <f>Beta!D6</f>
        <v>0.34717763588685635</v>
      </c>
      <c r="D18" s="580">
        <f>AVERAGE(C41:C43)</f>
        <v>12872.333333333334</v>
      </c>
      <c r="E18" s="536">
        <f>D18/(D18+F18)</f>
        <v>0.23766618538910242</v>
      </c>
      <c r="F18" s="563">
        <f>AVERAGE(F41:F43)</f>
        <v>41289.066666666673</v>
      </c>
      <c r="G18" s="536">
        <f>F18/(D18+F18)</f>
        <v>0.76233381461089755</v>
      </c>
      <c r="H18" s="550">
        <f>D18/F18</f>
        <v>0.31176130565638033</v>
      </c>
      <c r="I18" s="298">
        <f>C18/(1+(1-$I$27)*H18)</f>
        <v>0.27856858124890349</v>
      </c>
      <c r="J18" s="255"/>
      <c r="K18" s="28"/>
      <c r="L18" s="28"/>
      <c r="M18" s="28"/>
      <c r="N18" s="28"/>
      <c r="O18" s="28"/>
    </row>
    <row r="19" spans="1:17">
      <c r="A19" s="19"/>
      <c r="B19" s="256" t="s">
        <v>431</v>
      </c>
      <c r="C19" s="513">
        <f>Beta!D7</f>
        <v>0.38570635856096464</v>
      </c>
      <c r="D19" s="564">
        <f>AVERAGE(C46:C48)</f>
        <v>15762.666666666666</v>
      </c>
      <c r="E19" s="536">
        <f>D19/(D19+F19)</f>
        <v>0.33089322206995092</v>
      </c>
      <c r="F19" s="564">
        <f>AVERAGE(F46:F48)</f>
        <v>31874.05</v>
      </c>
      <c r="G19" s="536">
        <f>F19/(D19+F19)</f>
        <v>0.66910677793004902</v>
      </c>
      <c r="H19" s="550">
        <f>D19/F19</f>
        <v>0.49452977160626488</v>
      </c>
      <c r="I19" s="298">
        <f>C19/(1+(1-$I$27)*H19)</f>
        <v>0.27735120168571892</v>
      </c>
      <c r="J19" s="632"/>
      <c r="K19" s="42"/>
      <c r="L19" s="19"/>
      <c r="M19" s="19"/>
      <c r="N19" s="19"/>
      <c r="O19" s="19"/>
    </row>
    <row r="20" spans="1:17">
      <c r="A20" s="19"/>
      <c r="B20" s="256" t="s">
        <v>432</v>
      </c>
      <c r="C20" s="513">
        <f>Beta!D8</f>
        <v>0.74374466386154225</v>
      </c>
      <c r="D20" s="564">
        <f>AVERAGE(C51:C53)</f>
        <v>5127.0966666666664</v>
      </c>
      <c r="E20" s="536">
        <f t="shared" ref="E20:E22" si="0">D20/(D20+F20)</f>
        <v>0.2696324747090173</v>
      </c>
      <c r="F20" s="564">
        <f>AVERAGE(F51:F53)</f>
        <v>13888.033733333335</v>
      </c>
      <c r="G20" s="536">
        <f t="shared" ref="G20:G22" si="1">F20/(D20+F20)</f>
        <v>0.7303675252909827</v>
      </c>
      <c r="H20" s="550">
        <f t="shared" ref="H20:H22" si="2">D20/F20</f>
        <v>0.36917369046713039</v>
      </c>
      <c r="I20" s="298">
        <f>C20/(1+(1-$I$27)*H20)</f>
        <v>0.57581099154188775</v>
      </c>
      <c r="J20" s="255"/>
      <c r="K20" s="42"/>
      <c r="L20" s="19"/>
      <c r="M20" s="19"/>
      <c r="N20" s="19"/>
      <c r="O20" s="19"/>
    </row>
    <row r="21" spans="1:17">
      <c r="A21" s="19"/>
      <c r="B21" s="617" t="s">
        <v>434</v>
      </c>
      <c r="C21" s="513">
        <f>Beta!D10</f>
        <v>0.93395763868881587</v>
      </c>
      <c r="D21" s="564">
        <f>AVERAGE(C56:C58)</f>
        <v>4954.1033333333335</v>
      </c>
      <c r="E21" s="536">
        <f t="shared" si="0"/>
        <v>7.799795019448684E-2</v>
      </c>
      <c r="F21" s="564">
        <f>AVERAGE(F56:F58)</f>
        <v>58561.711133333331</v>
      </c>
      <c r="G21" s="536">
        <f t="shared" si="1"/>
        <v>0.92200204980551315</v>
      </c>
      <c r="H21" s="550">
        <f t="shared" si="2"/>
        <v>8.4596287189317762E-2</v>
      </c>
      <c r="I21" s="298">
        <f>C21/(1+(1-$I$27)*H21)</f>
        <v>0.87545035730971466</v>
      </c>
      <c r="J21" s="255"/>
      <c r="K21" s="42"/>
      <c r="L21" s="19"/>
      <c r="M21" s="19"/>
      <c r="N21" s="19"/>
      <c r="O21" s="19"/>
    </row>
    <row r="22" spans="1:17">
      <c r="A22" s="19"/>
      <c r="B22" s="256" t="s">
        <v>433</v>
      </c>
      <c r="C22" s="513">
        <f>Beta!D9</f>
        <v>0.41934942110841522</v>
      </c>
      <c r="D22" s="564">
        <f>AVERAGE(C61:C63)</f>
        <v>4118.0600000000004</v>
      </c>
      <c r="E22" s="536">
        <f t="shared" si="0"/>
        <v>0.66500728396831299</v>
      </c>
      <c r="F22" s="563">
        <f>AVERAGE(F61:F63)</f>
        <v>2074.4436000000001</v>
      </c>
      <c r="G22" s="536">
        <f t="shared" si="1"/>
        <v>0.33499271603168712</v>
      </c>
      <c r="H22" s="550">
        <f t="shared" si="2"/>
        <v>1.9851395333187174</v>
      </c>
      <c r="I22" s="298">
        <f>C22/(1+(1-$I$27)*H22)</f>
        <v>0.16328151485357534</v>
      </c>
      <c r="J22" s="255"/>
      <c r="K22" s="42"/>
      <c r="L22" s="19"/>
      <c r="M22" s="19"/>
      <c r="N22" s="19"/>
      <c r="O22" s="19"/>
    </row>
    <row r="23" spans="1:17">
      <c r="A23" s="19"/>
      <c r="B23" s="256"/>
      <c r="D23" s="565"/>
      <c r="E23" s="566"/>
      <c r="F23" s="566"/>
      <c r="G23" s="537"/>
      <c r="H23" s="551"/>
      <c r="I23" s="310"/>
      <c r="J23" s="255"/>
      <c r="K23" s="42"/>
      <c r="L23" s="19"/>
      <c r="M23" s="19"/>
      <c r="N23" s="19"/>
      <c r="O23" s="19"/>
    </row>
    <row r="24" spans="1:17">
      <c r="A24" s="19"/>
      <c r="B24" s="299"/>
      <c r="C24" s="521"/>
      <c r="D24" s="521"/>
      <c r="E24" s="521"/>
      <c r="F24" s="521"/>
      <c r="G24" s="538"/>
      <c r="H24" s="552" t="s">
        <v>106</v>
      </c>
      <c r="I24" s="611">
        <f>AVERAGE(I18:I22)</f>
        <v>0.43409252932796</v>
      </c>
      <c r="J24" s="612">
        <f>I24/(1+(1-I27)*H27)</f>
        <v>0.42637081721650061</v>
      </c>
      <c r="K24" s="42"/>
      <c r="L24" s="19"/>
      <c r="M24" s="19"/>
      <c r="N24" s="19"/>
      <c r="O24" s="19"/>
    </row>
    <row r="25" spans="1:17">
      <c r="A25" s="19"/>
      <c r="B25" s="29"/>
      <c r="C25" s="522"/>
      <c r="D25" s="522"/>
      <c r="E25" s="522"/>
      <c r="F25" s="567"/>
      <c r="G25" s="539"/>
      <c r="H25" s="553"/>
      <c r="I25" s="31"/>
      <c r="J25" s="31"/>
      <c r="K25" s="42"/>
      <c r="L25" s="19"/>
      <c r="M25" s="19"/>
      <c r="N25" s="19"/>
      <c r="O25" s="19"/>
    </row>
    <row r="26" spans="1:17" ht="46.8">
      <c r="A26" s="19"/>
      <c r="B26" s="296" t="s">
        <v>251</v>
      </c>
      <c r="C26" s="512" t="s">
        <v>104</v>
      </c>
      <c r="D26" s="512" t="s">
        <v>220</v>
      </c>
      <c r="E26" s="512" t="s">
        <v>221</v>
      </c>
      <c r="F26" s="512" t="s">
        <v>222</v>
      </c>
      <c r="G26" s="512" t="s">
        <v>223</v>
      </c>
      <c r="H26" s="27" t="s">
        <v>224</v>
      </c>
      <c r="I26" s="297" t="s">
        <v>110</v>
      </c>
      <c r="J26" s="42"/>
      <c r="K26" s="42"/>
      <c r="L26" s="19"/>
      <c r="M26" s="19"/>
      <c r="N26" s="19"/>
      <c r="O26" s="19"/>
    </row>
    <row r="27" spans="1:17">
      <c r="A27" s="19"/>
      <c r="B27" s="257" t="s">
        <v>430</v>
      </c>
      <c r="C27" s="597">
        <f>Beta!D5</f>
        <v>0.30143553084325514</v>
      </c>
      <c r="D27" s="598">
        <f>AVERAGE(C36:C38)</f>
        <v>4954.1033333333335</v>
      </c>
      <c r="E27" s="599">
        <f>D27/(D27+F27)</f>
        <v>2.2410703029597561E-2</v>
      </c>
      <c r="F27" s="600">
        <f>AVERAGE(F36:F38)</f>
        <v>216105.59866666663</v>
      </c>
      <c r="G27" s="599">
        <f>F27/(D27+F27)</f>
        <v>0.97758929697040242</v>
      </c>
      <c r="H27" s="601">
        <f>D27/F27</f>
        <v>2.29244562098311E-2</v>
      </c>
      <c r="I27" s="618">
        <v>0.21</v>
      </c>
      <c r="J27" s="42"/>
      <c r="K27" s="42"/>
      <c r="L27" s="19"/>
      <c r="M27" s="19"/>
      <c r="N27" s="19"/>
      <c r="O27" s="19"/>
    </row>
    <row r="28" spans="1:17">
      <c r="A28" s="19"/>
      <c r="B28" s="19"/>
      <c r="C28" s="520"/>
      <c r="D28" s="568"/>
      <c r="E28" s="566"/>
      <c r="F28" s="568"/>
      <c r="G28" s="540"/>
      <c r="H28" s="554"/>
      <c r="I28" s="43"/>
      <c r="J28" s="42"/>
      <c r="K28" s="42"/>
      <c r="L28" s="19"/>
      <c r="M28" s="19"/>
      <c r="N28" s="19"/>
      <c r="O28" s="19"/>
    </row>
    <row r="29" spans="1:17">
      <c r="A29" s="19"/>
      <c r="B29" s="28" t="s">
        <v>410</v>
      </c>
      <c r="C29" s="523"/>
      <c r="D29" s="523"/>
      <c r="E29" s="523"/>
      <c r="F29" s="523"/>
      <c r="G29" s="541"/>
      <c r="H29" s="555"/>
      <c r="I29" s="41"/>
      <c r="J29" s="42"/>
      <c r="K29" s="42"/>
      <c r="L29" s="19"/>
      <c r="M29" s="19"/>
      <c r="N29" s="19"/>
      <c r="O29" s="19"/>
    </row>
    <row r="30" spans="1:17" ht="16.2" thickBot="1">
      <c r="A30" s="19">
        <v>1</v>
      </c>
      <c r="B30" s="19" t="s">
        <v>238</v>
      </c>
      <c r="C30" s="616">
        <f>J24</f>
        <v>0.42637081721650061</v>
      </c>
      <c r="D30" s="523"/>
      <c r="E30" s="523"/>
      <c r="F30" s="523"/>
      <c r="G30" s="537"/>
      <c r="H30" s="555"/>
      <c r="I30" s="41"/>
      <c r="J30" s="42"/>
      <c r="K30" s="42"/>
      <c r="L30" s="19"/>
      <c r="M30" s="19"/>
      <c r="N30" s="19"/>
      <c r="O30" s="19"/>
    </row>
    <row r="31" spans="1:17" ht="16.2" thickBot="1">
      <c r="A31" s="28">
        <v>2</v>
      </c>
      <c r="B31" s="19" t="s">
        <v>250</v>
      </c>
      <c r="C31" s="616">
        <f>C27</f>
        <v>0.30143553084325514</v>
      </c>
      <c r="D31" s="568"/>
      <c r="E31" s="566"/>
      <c r="F31" s="568"/>
      <c r="G31" s="540"/>
      <c r="H31" s="554"/>
      <c r="I31" s="258"/>
      <c r="J31" s="44"/>
      <c r="K31" s="688" t="s">
        <v>244</v>
      </c>
      <c r="L31" s="689"/>
      <c r="M31" s="690"/>
      <c r="N31" s="28"/>
      <c r="O31" s="28"/>
      <c r="P31" s="28"/>
    </row>
    <row r="32" spans="1:17">
      <c r="A32" s="19"/>
      <c r="B32" s="19"/>
      <c r="C32" s="523"/>
      <c r="D32" s="523"/>
      <c r="E32" s="523"/>
      <c r="F32" s="523"/>
      <c r="G32" s="523"/>
      <c r="H32" s="556"/>
      <c r="I32" s="23"/>
      <c r="J32" s="19"/>
      <c r="K32" s="19"/>
      <c r="L32" s="19"/>
      <c r="M32" s="19"/>
      <c r="N32" s="19"/>
      <c r="O32" s="19"/>
      <c r="P32" s="19"/>
    </row>
    <row r="33" spans="1:17" ht="16.5" customHeight="1" thickBot="1">
      <c r="A33" s="19"/>
      <c r="B33" s="32" t="s">
        <v>252</v>
      </c>
      <c r="C33" s="524"/>
      <c r="D33" s="524"/>
      <c r="E33" s="375"/>
      <c r="F33" s="375"/>
      <c r="G33" s="524"/>
      <c r="H33" s="546"/>
      <c r="I33" s="19"/>
      <c r="K33" s="700" t="s">
        <v>248</v>
      </c>
      <c r="L33" s="700"/>
      <c r="M33" s="700"/>
      <c r="N33" s="19"/>
      <c r="O33" s="19"/>
      <c r="P33" s="19"/>
    </row>
    <row r="34" spans="1:17">
      <c r="A34" s="19"/>
      <c r="B34" s="33"/>
      <c r="C34" s="699" t="s">
        <v>226</v>
      </c>
      <c r="D34" s="687" t="s">
        <v>107</v>
      </c>
      <c r="E34" s="687"/>
      <c r="F34" s="687"/>
      <c r="G34" s="533"/>
      <c r="H34" s="546"/>
      <c r="I34" s="19"/>
      <c r="J34" s="19"/>
      <c r="K34" s="245" t="s">
        <v>91</v>
      </c>
      <c r="L34" s="246" t="s">
        <v>92</v>
      </c>
      <c r="M34" s="247" t="s">
        <v>93</v>
      </c>
      <c r="N34" s="19"/>
      <c r="O34" s="19"/>
      <c r="P34" s="19"/>
      <c r="Q34" s="19"/>
    </row>
    <row r="35" spans="1:17">
      <c r="A35" s="345" t="s">
        <v>275</v>
      </c>
      <c r="B35" s="32" t="s">
        <v>406</v>
      </c>
      <c r="C35" s="699"/>
      <c r="D35" s="534" t="s">
        <v>227</v>
      </c>
      <c r="E35" s="534" t="s">
        <v>108</v>
      </c>
      <c r="F35" s="534" t="s">
        <v>109</v>
      </c>
      <c r="G35" s="534" t="s">
        <v>110</v>
      </c>
      <c r="H35" s="546"/>
      <c r="I35" s="19"/>
      <c r="J35" s="19"/>
      <c r="K35" s="248" t="s">
        <v>241</v>
      </c>
      <c r="L35" s="22"/>
      <c r="M35" s="613">
        <f>'Debt Schedule'!H15</f>
        <v>3.8329754639432063E-2</v>
      </c>
      <c r="N35" s="23"/>
      <c r="O35" s="19"/>
      <c r="P35" s="19"/>
      <c r="Q35" s="19"/>
    </row>
    <row r="36" spans="1:17" ht="15.75" customHeight="1">
      <c r="A36" s="19"/>
      <c r="B36" s="528">
        <v>46103</v>
      </c>
      <c r="C36" s="529">
        <v>5245.88</v>
      </c>
      <c r="D36" s="581">
        <f>Beta!C30</f>
        <v>305.89999999999998</v>
      </c>
      <c r="E36" s="571">
        <v>713.5</v>
      </c>
      <c r="F36" s="569">
        <f>D36*E36</f>
        <v>218259.65</v>
      </c>
      <c r="G36" s="542">
        <v>0.21</v>
      </c>
      <c r="H36" s="557"/>
      <c r="I36" s="34"/>
      <c r="J36" s="19"/>
      <c r="K36" s="249" t="s">
        <v>242</v>
      </c>
      <c r="L36" s="250"/>
      <c r="M36" s="614">
        <f>G36</f>
        <v>0.21</v>
      </c>
      <c r="N36" s="23"/>
      <c r="O36" s="19"/>
      <c r="P36" s="19"/>
      <c r="Q36" s="19"/>
    </row>
    <row r="37" spans="1:17" ht="16.2" thickBot="1">
      <c r="A37" s="19"/>
      <c r="B37" s="530">
        <v>46019</v>
      </c>
      <c r="C37" s="531">
        <v>5075.8100000000004</v>
      </c>
      <c r="D37" s="581">
        <f>Beta!C42</f>
        <v>303.26</v>
      </c>
      <c r="E37" s="572">
        <v>716.4</v>
      </c>
      <c r="F37" s="569">
        <f t="shared" ref="F37:F38" si="3">D37*E37</f>
        <v>217255.46399999998</v>
      </c>
      <c r="G37" s="543">
        <v>0.21</v>
      </c>
      <c r="H37" s="557"/>
      <c r="I37" s="34"/>
      <c r="J37" s="19"/>
      <c r="K37" s="251" t="s">
        <v>243</v>
      </c>
      <c r="L37" s="252"/>
      <c r="M37" s="615">
        <f>M35*(1-M36)</f>
        <v>3.0280506165151332E-2</v>
      </c>
      <c r="N37" s="23"/>
      <c r="O37" s="19"/>
      <c r="P37" s="19"/>
      <c r="Q37" s="19"/>
    </row>
    <row r="38" spans="1:17">
      <c r="A38" s="19"/>
      <c r="B38" s="530">
        <v>45655</v>
      </c>
      <c r="C38" s="531">
        <v>4540.62</v>
      </c>
      <c r="D38" s="581">
        <f>Beta!C94</f>
        <v>294.77999999999997</v>
      </c>
      <c r="E38" s="572">
        <v>721.9</v>
      </c>
      <c r="F38" s="569">
        <f t="shared" si="3"/>
        <v>212801.68199999997</v>
      </c>
      <c r="G38" s="543">
        <v>0.21</v>
      </c>
      <c r="H38" s="557"/>
      <c r="I38" s="34"/>
      <c r="J38" s="19"/>
      <c r="K38" s="19"/>
      <c r="L38" s="19"/>
      <c r="M38" s="19"/>
      <c r="N38" s="19"/>
      <c r="O38" s="19"/>
      <c r="P38" s="19"/>
      <c r="Q38" s="19"/>
    </row>
    <row r="39" spans="1:17" ht="16.2" thickBot="1">
      <c r="A39" s="19"/>
      <c r="B39" s="35"/>
      <c r="C39" s="524"/>
      <c r="D39" s="582"/>
      <c r="E39" s="524"/>
      <c r="F39" s="570"/>
      <c r="G39" s="524"/>
      <c r="H39" s="292"/>
      <c r="I39" s="33"/>
      <c r="J39" s="19"/>
      <c r="K39" s="19"/>
      <c r="L39" s="19"/>
      <c r="M39" s="19"/>
      <c r="N39" s="19"/>
      <c r="O39" s="19"/>
      <c r="P39" s="19"/>
      <c r="Q39" s="19"/>
    </row>
    <row r="40" spans="1:17">
      <c r="A40" s="345" t="s">
        <v>276</v>
      </c>
      <c r="B40" s="36" t="s">
        <v>429</v>
      </c>
      <c r="C40" s="524"/>
      <c r="D40" s="582"/>
      <c r="E40" s="524"/>
      <c r="F40" s="570"/>
      <c r="G40" s="524"/>
      <c r="H40" s="292"/>
      <c r="I40" s="33"/>
      <c r="J40" s="19"/>
      <c r="K40" s="693" t="s">
        <v>228</v>
      </c>
      <c r="L40" s="694"/>
      <c r="M40" s="695"/>
      <c r="N40" s="19"/>
      <c r="O40" s="19"/>
      <c r="P40" s="19"/>
      <c r="Q40" s="19"/>
    </row>
    <row r="41" spans="1:17">
      <c r="A41" s="19"/>
      <c r="B41" s="528">
        <v>46112</v>
      </c>
      <c r="C41" s="532">
        <v>13144</v>
      </c>
      <c r="D41" s="583">
        <f>Beta!G29</f>
        <v>156.09</v>
      </c>
      <c r="E41" s="573">
        <v>279</v>
      </c>
      <c r="F41" s="586">
        <f>D41*E41</f>
        <v>43549.11</v>
      </c>
      <c r="G41" s="543">
        <v>0.21</v>
      </c>
      <c r="H41" s="588" t="s">
        <v>533</v>
      </c>
      <c r="I41" s="34"/>
      <c r="J41" s="19"/>
      <c r="K41" s="259" t="s">
        <v>91</v>
      </c>
      <c r="L41" s="260" t="s">
        <v>92</v>
      </c>
      <c r="M41" s="294" t="s">
        <v>93</v>
      </c>
      <c r="N41" s="19"/>
      <c r="O41" s="19"/>
      <c r="P41" s="19"/>
      <c r="Q41" s="19"/>
    </row>
    <row r="42" spans="1:17">
      <c r="A42" s="19"/>
      <c r="B42" s="530">
        <v>46022</v>
      </c>
      <c r="C42" s="532">
        <v>13187</v>
      </c>
      <c r="D42" s="572">
        <f>Beta!G42</f>
        <v>150.49</v>
      </c>
      <c r="E42" s="573">
        <v>281</v>
      </c>
      <c r="F42" s="569">
        <f t="shared" ref="F42:F43" si="4">D42*E42</f>
        <v>42287.69</v>
      </c>
      <c r="G42" s="543">
        <v>0.21</v>
      </c>
      <c r="H42" s="557"/>
      <c r="I42" s="34"/>
      <c r="J42" s="19"/>
      <c r="K42" s="261" t="s">
        <v>229</v>
      </c>
      <c r="L42" s="262"/>
      <c r="M42" s="619">
        <f>D11</f>
        <v>4.3619999999999999E-2</v>
      </c>
      <c r="N42" s="19"/>
      <c r="O42" s="19"/>
      <c r="P42" s="19"/>
      <c r="Q42" s="19"/>
    </row>
    <row r="43" spans="1:17">
      <c r="A43" s="19"/>
      <c r="B43" s="530">
        <v>45657</v>
      </c>
      <c r="C43" s="532">
        <v>12286</v>
      </c>
      <c r="D43" s="572">
        <f>Beta!G94</f>
        <v>133.44</v>
      </c>
      <c r="E43" s="573">
        <v>285</v>
      </c>
      <c r="F43" s="569">
        <f t="shared" si="4"/>
        <v>38030.400000000001</v>
      </c>
      <c r="G43" s="543">
        <v>0.21</v>
      </c>
      <c r="H43" s="557"/>
      <c r="I43" s="34"/>
      <c r="J43" s="19"/>
      <c r="K43" s="261" t="s">
        <v>239</v>
      </c>
      <c r="L43" s="262" t="s">
        <v>534</v>
      </c>
      <c r="M43" s="619" t="s">
        <v>536</v>
      </c>
      <c r="N43" s="19"/>
      <c r="O43" s="19"/>
      <c r="P43" s="19"/>
      <c r="Q43" s="19"/>
    </row>
    <row r="44" spans="1:17">
      <c r="A44" s="19"/>
      <c r="B44" s="33"/>
      <c r="C44" s="524"/>
      <c r="D44" s="582"/>
      <c r="E44" s="524"/>
      <c r="F44" s="570"/>
      <c r="G44" s="524"/>
      <c r="H44" s="292"/>
      <c r="I44" s="33"/>
      <c r="J44" s="19"/>
      <c r="K44" s="261" t="s">
        <v>240</v>
      </c>
      <c r="L44" s="262" t="s">
        <v>535</v>
      </c>
      <c r="M44" s="619">
        <v>1.11E-2</v>
      </c>
      <c r="N44" s="19"/>
      <c r="O44" s="19"/>
      <c r="P44" s="19"/>
      <c r="Q44" s="19"/>
    </row>
    <row r="45" spans="1:17" ht="15.75" customHeight="1">
      <c r="A45" s="345" t="s">
        <v>277</v>
      </c>
      <c r="B45" s="36" t="s">
        <v>431</v>
      </c>
      <c r="C45" s="524"/>
      <c r="D45" s="582"/>
      <c r="E45" s="524"/>
      <c r="F45" s="570"/>
      <c r="G45" s="524"/>
      <c r="H45" s="557"/>
      <c r="I45" s="33"/>
      <c r="J45" s="19"/>
      <c r="K45" s="249" t="s">
        <v>241</v>
      </c>
      <c r="L45" s="250"/>
      <c r="M45" s="620">
        <f>M42+M44</f>
        <v>5.4719999999999998E-2</v>
      </c>
      <c r="N45" s="19"/>
      <c r="O45" s="19"/>
      <c r="P45" s="19"/>
      <c r="Q45" s="19"/>
    </row>
    <row r="46" spans="1:17">
      <c r="A46" s="19"/>
      <c r="B46" s="528">
        <v>46112</v>
      </c>
      <c r="C46" s="532">
        <v>15683</v>
      </c>
      <c r="D46" s="583">
        <f>Beta!K29</f>
        <v>76.58</v>
      </c>
      <c r="E46" s="573">
        <v>459</v>
      </c>
      <c r="F46" s="569">
        <f>D46*E46</f>
        <v>35150.22</v>
      </c>
      <c r="G46" s="543">
        <v>0.21</v>
      </c>
      <c r="H46" s="557"/>
      <c r="I46" s="34"/>
      <c r="J46" s="19"/>
      <c r="K46" s="249" t="s">
        <v>242</v>
      </c>
      <c r="L46" s="250"/>
      <c r="M46" s="614">
        <f>G36</f>
        <v>0.21</v>
      </c>
      <c r="N46" s="19"/>
      <c r="O46" s="19"/>
      <c r="P46" s="19"/>
      <c r="Q46" s="19"/>
    </row>
    <row r="47" spans="1:17" ht="16.2" thickBot="1">
      <c r="A47" s="19"/>
      <c r="B47" s="530">
        <v>46022</v>
      </c>
      <c r="C47" s="532">
        <v>15679</v>
      </c>
      <c r="D47" s="572">
        <f>Beta!K42</f>
        <v>67.81</v>
      </c>
      <c r="E47" s="573">
        <v>457</v>
      </c>
      <c r="F47" s="569">
        <f t="shared" ref="F47:F48" si="5">D47*E47</f>
        <v>30989.170000000002</v>
      </c>
      <c r="G47" s="543">
        <v>0.21</v>
      </c>
      <c r="H47" s="557"/>
      <c r="I47" s="34"/>
      <c r="J47" s="19"/>
      <c r="K47" s="251" t="s">
        <v>243</v>
      </c>
      <c r="L47" s="252"/>
      <c r="M47" s="621">
        <f>M45*(1-M46)</f>
        <v>4.3228799999999998E-2</v>
      </c>
      <c r="N47" s="19"/>
      <c r="O47" s="19"/>
      <c r="P47" s="19"/>
      <c r="Q47" s="19"/>
    </row>
    <row r="48" spans="1:17">
      <c r="A48" s="19"/>
      <c r="B48" s="530">
        <v>45657</v>
      </c>
      <c r="C48" s="532">
        <v>15926</v>
      </c>
      <c r="D48" s="572">
        <f>Beta!K94</f>
        <v>64.94</v>
      </c>
      <c r="E48" s="573">
        <v>454</v>
      </c>
      <c r="F48" s="569">
        <f t="shared" si="5"/>
        <v>29482.76</v>
      </c>
      <c r="G48" s="543">
        <v>0.21</v>
      </c>
      <c r="H48" s="292"/>
      <c r="I48" s="34"/>
      <c r="J48" s="19"/>
      <c r="K48" s="19"/>
      <c r="L48" s="19"/>
      <c r="M48" s="19"/>
      <c r="N48" s="19"/>
      <c r="O48" s="19"/>
      <c r="P48" s="19"/>
      <c r="Q48" s="19"/>
    </row>
    <row r="49" spans="1:17" ht="16.2" thickBot="1">
      <c r="A49" s="19"/>
      <c r="B49" s="33"/>
      <c r="C49" s="524"/>
      <c r="D49" s="582"/>
      <c r="E49" s="524"/>
      <c r="F49" s="570"/>
      <c r="G49" s="524"/>
      <c r="H49" s="557"/>
      <c r="I49" s="33"/>
      <c r="J49" s="19"/>
      <c r="K49" s="19"/>
      <c r="L49" s="19"/>
      <c r="M49" s="19"/>
      <c r="N49" s="19"/>
      <c r="O49" s="19"/>
      <c r="P49" s="19"/>
      <c r="Q49" s="19"/>
    </row>
    <row r="50" spans="1:17">
      <c r="A50" s="345" t="s">
        <v>278</v>
      </c>
      <c r="B50" s="37" t="s">
        <v>432</v>
      </c>
      <c r="C50" s="524"/>
      <c r="D50" s="582"/>
      <c r="E50" s="524"/>
      <c r="F50" s="570"/>
      <c r="G50" s="524"/>
      <c r="H50" s="557"/>
      <c r="I50" s="34"/>
      <c r="J50" s="19"/>
      <c r="K50" s="693" t="s">
        <v>230</v>
      </c>
      <c r="L50" s="694"/>
      <c r="M50" s="695"/>
      <c r="N50" s="19"/>
      <c r="O50" s="19"/>
      <c r="P50" s="19"/>
      <c r="Q50" s="19"/>
    </row>
    <row r="51" spans="1:17">
      <c r="A51" s="19"/>
      <c r="B51" s="528">
        <v>46103</v>
      </c>
      <c r="C51" s="532">
        <v>5135.7700000000004</v>
      </c>
      <c r="D51" s="583">
        <f>Beta!O30</f>
        <v>348.14</v>
      </c>
      <c r="E51" s="573">
        <v>33.82</v>
      </c>
      <c r="F51" s="569">
        <f>D51*E51</f>
        <v>11774.094799999999</v>
      </c>
      <c r="G51" s="543">
        <v>0.21</v>
      </c>
      <c r="H51" s="557"/>
      <c r="I51" s="34"/>
      <c r="J51" s="19"/>
      <c r="K51" s="259" t="s">
        <v>91</v>
      </c>
      <c r="L51" s="260" t="s">
        <v>92</v>
      </c>
      <c r="M51" s="294" t="s">
        <v>93</v>
      </c>
      <c r="N51" s="19"/>
      <c r="O51" s="19"/>
      <c r="P51" s="19"/>
      <c r="Q51" s="19"/>
    </row>
    <row r="52" spans="1:17">
      <c r="A52" s="19"/>
      <c r="B52" s="530">
        <v>46019</v>
      </c>
      <c r="C52" s="532">
        <v>5048.28</v>
      </c>
      <c r="D52" s="572">
        <f>Beta!O42</f>
        <v>425.28</v>
      </c>
      <c r="E52" s="573">
        <v>34.24</v>
      </c>
      <c r="F52" s="569">
        <f t="shared" ref="F52:F53" si="6">D52*E52</f>
        <v>14561.5872</v>
      </c>
      <c r="G52" s="543">
        <v>0.21</v>
      </c>
      <c r="H52" s="292"/>
      <c r="I52" s="34"/>
      <c r="J52" s="19"/>
      <c r="K52" s="261" t="s">
        <v>229</v>
      </c>
      <c r="L52" s="262"/>
      <c r="M52" s="619">
        <f>D11</f>
        <v>4.3619999999999999E-2</v>
      </c>
      <c r="N52" s="19"/>
      <c r="O52" s="19"/>
      <c r="P52" s="19"/>
      <c r="Q52" s="19"/>
    </row>
    <row r="53" spans="1:17" ht="15.75" customHeight="1">
      <c r="A53" s="19"/>
      <c r="B53" s="530">
        <v>45655</v>
      </c>
      <c r="C53" s="532">
        <v>5197.24</v>
      </c>
      <c r="D53" s="572">
        <f>Beta!O94</f>
        <v>438.08</v>
      </c>
      <c r="E53" s="573">
        <v>34.99</v>
      </c>
      <c r="F53" s="569">
        <f t="shared" si="6"/>
        <v>15328.4192</v>
      </c>
      <c r="G53" s="543">
        <v>0.21</v>
      </c>
      <c r="H53" s="292"/>
      <c r="I53" s="33"/>
      <c r="J53" s="19"/>
      <c r="K53" s="261" t="s">
        <v>231</v>
      </c>
      <c r="L53" s="315" t="s">
        <v>539</v>
      </c>
      <c r="M53" s="619">
        <v>5.4999999999999997E-3</v>
      </c>
      <c r="N53" s="19"/>
      <c r="O53" s="19"/>
      <c r="P53" s="19"/>
      <c r="Q53" s="19"/>
    </row>
    <row r="54" spans="1:17">
      <c r="A54" s="19"/>
      <c r="B54" s="33"/>
      <c r="C54" s="525"/>
      <c r="D54" s="584"/>
      <c r="E54" s="525"/>
      <c r="F54" s="570"/>
      <c r="G54" s="524"/>
      <c r="H54" s="557"/>
      <c r="I54" s="33"/>
      <c r="J54" s="19"/>
      <c r="K54" s="249" t="s">
        <v>241</v>
      </c>
      <c r="L54" s="250"/>
      <c r="M54" s="614">
        <f>M52+M53</f>
        <v>4.9119999999999997E-2</v>
      </c>
      <c r="N54" s="19"/>
      <c r="O54" s="19"/>
      <c r="P54" s="19"/>
      <c r="Q54" s="19"/>
    </row>
    <row r="55" spans="1:17">
      <c r="A55" s="345" t="s">
        <v>279</v>
      </c>
      <c r="B55" s="28" t="s">
        <v>434</v>
      </c>
      <c r="C55" s="525"/>
      <c r="D55" s="584"/>
      <c r="E55" s="525"/>
      <c r="F55" s="570"/>
      <c r="G55" s="524"/>
      <c r="H55" s="557"/>
      <c r="I55" s="34"/>
      <c r="J55" s="19"/>
      <c r="K55" s="249" t="s">
        <v>242</v>
      </c>
      <c r="L55" s="250"/>
      <c r="M55" s="614">
        <f>G36</f>
        <v>0.21</v>
      </c>
      <c r="N55" s="19"/>
      <c r="O55" s="19"/>
      <c r="P55" s="19"/>
      <c r="Q55" s="19"/>
    </row>
    <row r="56" spans="1:17" ht="16.2" thickBot="1">
      <c r="A56" s="19"/>
      <c r="B56" s="528">
        <v>46112</v>
      </c>
      <c r="C56" s="587">
        <v>5245.88</v>
      </c>
      <c r="D56" s="581">
        <f>Beta!W29</f>
        <v>33.159999999999997</v>
      </c>
      <c r="E56" s="532">
        <v>1301.8599999999999</v>
      </c>
      <c r="F56" s="569">
        <f>D56*E56</f>
        <v>43169.677599999995</v>
      </c>
      <c r="G56" s="543">
        <v>0.21</v>
      </c>
      <c r="H56" s="292"/>
      <c r="I56" s="34"/>
      <c r="J56" s="19"/>
      <c r="K56" s="251" t="s">
        <v>243</v>
      </c>
      <c r="L56" s="252"/>
      <c r="M56" s="615">
        <f>M54*(1-M55)</f>
        <v>3.88048E-2</v>
      </c>
      <c r="N56" s="19"/>
      <c r="O56" s="19"/>
      <c r="P56" s="19"/>
      <c r="Q56" s="19"/>
    </row>
    <row r="57" spans="1:17">
      <c r="A57" s="19"/>
      <c r="B57" s="530">
        <v>46022</v>
      </c>
      <c r="C57" s="587">
        <v>5075.8100000000004</v>
      </c>
      <c r="D57" s="581">
        <f>Beta!W42</f>
        <v>37.49</v>
      </c>
      <c r="E57" s="532">
        <v>1342.62</v>
      </c>
      <c r="F57" s="569">
        <f t="shared" ref="F57:F58" si="7">D57*E57</f>
        <v>50334.823799999998</v>
      </c>
      <c r="G57" s="543">
        <v>0.21</v>
      </c>
      <c r="H57" s="292"/>
      <c r="I57" s="33"/>
      <c r="J57" s="19"/>
      <c r="K57" s="19"/>
      <c r="L57" s="19"/>
      <c r="M57" s="19"/>
      <c r="N57" s="19"/>
      <c r="Q57" s="19"/>
    </row>
    <row r="58" spans="1:17">
      <c r="A58" s="19"/>
      <c r="B58" s="530">
        <v>45657</v>
      </c>
      <c r="C58" s="587">
        <v>4540.62</v>
      </c>
      <c r="D58" s="581">
        <f>Beta!W94</f>
        <v>59.7</v>
      </c>
      <c r="E58" s="532">
        <v>1376.56</v>
      </c>
      <c r="F58" s="569">
        <f t="shared" si="7"/>
        <v>82180.631999999998</v>
      </c>
      <c r="G58" s="543">
        <v>0.21</v>
      </c>
      <c r="H58" s="557"/>
      <c r="I58" s="33"/>
      <c r="J58" s="19"/>
      <c r="K58" s="346"/>
      <c r="L58" s="347">
        <f>'McD IS'!B4</f>
        <v>44561</v>
      </c>
      <c r="M58" s="347">
        <f>'McD IS'!C4</f>
        <v>44926</v>
      </c>
      <c r="N58" s="347">
        <f>'McD IS'!D4</f>
        <v>45291</v>
      </c>
      <c r="O58" s="347">
        <v>45657</v>
      </c>
      <c r="P58" s="347">
        <v>46022</v>
      </c>
      <c r="Q58" s="19" t="s">
        <v>531</v>
      </c>
    </row>
    <row r="59" spans="1:17">
      <c r="A59" s="19"/>
      <c r="C59" s="524"/>
      <c r="D59" s="584"/>
      <c r="E59" s="524"/>
      <c r="F59" s="570"/>
      <c r="G59" s="524"/>
      <c r="H59" s="557"/>
      <c r="I59" s="34"/>
      <c r="J59" s="19"/>
      <c r="K59" s="346" t="s">
        <v>538</v>
      </c>
      <c r="L59" s="622">
        <f>'McD IS'!B34/'McD IS'!B38</f>
        <v>8.9736886490133223</v>
      </c>
      <c r="M59" s="622">
        <f>'McD IS'!C34/'McD IS'!C38</f>
        <v>6.9270919635459816</v>
      </c>
      <c r="N59" s="622">
        <f>'McD IS'!D34/'McD IS'!D38</f>
        <v>8.3456055261610782</v>
      </c>
      <c r="O59" s="622">
        <f>'McD IS'!E34/'McD IS'!E38</f>
        <v>7.5836653386454183</v>
      </c>
      <c r="P59" s="622">
        <f>'McD IS'!F34/'McD IS'!F38</f>
        <v>7.6883691529709228</v>
      </c>
      <c r="Q59" s="623">
        <f>AVERAGE(L59:P59)</f>
        <v>7.9036841260673443</v>
      </c>
    </row>
    <row r="60" spans="1:17">
      <c r="A60" s="345" t="s">
        <v>280</v>
      </c>
      <c r="B60" s="37" t="s">
        <v>433</v>
      </c>
      <c r="C60" s="524"/>
      <c r="D60" s="584"/>
      <c r="E60" s="577"/>
      <c r="F60" s="570"/>
      <c r="G60" s="524"/>
      <c r="H60" s="546"/>
      <c r="I60" s="34"/>
      <c r="J60" s="19"/>
      <c r="K60" s="19"/>
      <c r="L60" s="19"/>
      <c r="M60" s="19"/>
      <c r="N60" s="19"/>
      <c r="O60" s="19"/>
      <c r="P60" s="19"/>
      <c r="Q60" s="19"/>
    </row>
    <row r="61" spans="1:17">
      <c r="A61" s="19"/>
      <c r="B61" s="528">
        <v>46110</v>
      </c>
      <c r="C61" s="532">
        <v>4116.59</v>
      </c>
      <c r="D61" s="572">
        <f>Beta!S29</f>
        <v>6.88</v>
      </c>
      <c r="E61" s="573">
        <v>190.9</v>
      </c>
      <c r="F61" s="569">
        <f>D61*E61</f>
        <v>1313.3920000000001</v>
      </c>
      <c r="G61" s="543">
        <v>0.21</v>
      </c>
      <c r="H61" s="546"/>
      <c r="I61" s="19"/>
      <c r="J61" s="19"/>
      <c r="K61" s="19"/>
      <c r="L61" s="19"/>
      <c r="M61" s="19"/>
      <c r="N61" s="19"/>
      <c r="O61" s="19"/>
      <c r="P61" s="19"/>
      <c r="Q61" s="19"/>
    </row>
    <row r="62" spans="1:17">
      <c r="B62" s="530">
        <v>46019</v>
      </c>
      <c r="C62" s="532">
        <v>4145.0200000000004</v>
      </c>
      <c r="D62" s="572">
        <f>Beta!S42</f>
        <v>8.17</v>
      </c>
      <c r="E62" s="573">
        <v>194.03</v>
      </c>
      <c r="F62" s="569">
        <f t="shared" ref="F62:F63" si="8">D62*E62</f>
        <v>1585.2250999999999</v>
      </c>
      <c r="G62" s="543">
        <v>0.21</v>
      </c>
      <c r="H62" s="558"/>
      <c r="I62" s="19"/>
      <c r="J62" s="19"/>
      <c r="K62" s="19"/>
      <c r="L62" s="19"/>
      <c r="M62" s="19"/>
      <c r="N62" s="19"/>
      <c r="O62" s="19"/>
      <c r="P62" s="19"/>
      <c r="Q62" s="19"/>
    </row>
    <row r="63" spans="1:17">
      <c r="A63" s="18"/>
      <c r="B63" s="530">
        <v>45655</v>
      </c>
      <c r="C63" s="532">
        <v>4092.57</v>
      </c>
      <c r="D63" s="572">
        <f>Beta!S94</f>
        <v>16.170000000000002</v>
      </c>
      <c r="E63" s="573">
        <v>205.61</v>
      </c>
      <c r="F63" s="569">
        <f t="shared" si="8"/>
        <v>3324.7137000000007</v>
      </c>
      <c r="G63" s="543">
        <v>0.21</v>
      </c>
      <c r="H63" s="545"/>
      <c r="I63" s="291"/>
      <c r="J63" s="19"/>
      <c r="K63" s="19"/>
      <c r="L63" s="19"/>
      <c r="M63" s="19"/>
      <c r="N63" s="19"/>
      <c r="O63" s="19"/>
      <c r="P63" s="19"/>
      <c r="Q63" s="19"/>
    </row>
    <row r="64" spans="1:17">
      <c r="A64" s="18"/>
      <c r="B64" s="19"/>
      <c r="C64" s="525"/>
      <c r="D64" s="585"/>
      <c r="E64" s="525"/>
      <c r="F64" s="524"/>
      <c r="H64" s="545"/>
      <c r="I64" s="18"/>
      <c r="J64" s="19"/>
      <c r="K64" s="19"/>
      <c r="L64" s="19"/>
      <c r="M64" s="19"/>
      <c r="N64" s="19"/>
      <c r="O64" s="19"/>
      <c r="P64" s="19"/>
      <c r="Q64" s="19"/>
    </row>
    <row r="65" spans="1:17">
      <c r="A65" s="18"/>
      <c r="B65" s="19"/>
      <c r="C65" s="524"/>
      <c r="D65" s="524"/>
      <c r="E65" s="524"/>
      <c r="F65" s="524"/>
      <c r="H65" s="545"/>
      <c r="I65" s="18"/>
      <c r="J65" s="19"/>
      <c r="K65" s="19"/>
      <c r="L65" s="19"/>
      <c r="M65" s="19"/>
      <c r="N65" s="19"/>
      <c r="O65" s="19"/>
      <c r="P65" s="19"/>
      <c r="Q65" s="19"/>
    </row>
    <row r="66" spans="1:17" ht="36" customHeight="1">
      <c r="A66" s="263" t="s">
        <v>232</v>
      </c>
      <c r="B66" s="696" t="s">
        <v>532</v>
      </c>
      <c r="C66" s="697"/>
      <c r="D66" s="697"/>
      <c r="E66" s="697"/>
      <c r="F66" s="697"/>
      <c r="G66" s="544"/>
      <c r="H66" s="545"/>
      <c r="I66" s="18"/>
      <c r="J66" s="19"/>
      <c r="K66" s="19"/>
      <c r="L66" s="19"/>
      <c r="M66" s="19"/>
      <c r="N66" s="19"/>
      <c r="O66" s="19"/>
      <c r="P66" s="19"/>
      <c r="Q66" s="19"/>
    </row>
    <row r="67" spans="1:17" ht="41.4" customHeight="1">
      <c r="A67" s="18"/>
      <c r="G67" s="514"/>
      <c r="H67" s="545"/>
      <c r="I67" s="18"/>
      <c r="J67" s="18"/>
      <c r="K67" s="19"/>
      <c r="L67" s="19"/>
      <c r="M67" s="19"/>
      <c r="N67" s="19"/>
      <c r="O67" s="18"/>
      <c r="P67" s="18"/>
      <c r="Q67" s="18"/>
    </row>
    <row r="68" spans="1:17">
      <c r="A68" s="18"/>
      <c r="B68" s="18"/>
      <c r="C68" s="526"/>
      <c r="D68" s="526"/>
      <c r="E68" s="526"/>
      <c r="F68" s="526"/>
      <c r="G68" s="514"/>
      <c r="H68" s="545"/>
      <c r="I68" s="18"/>
      <c r="J68" s="18"/>
      <c r="K68" s="19"/>
      <c r="L68" s="19"/>
      <c r="M68" s="19"/>
      <c r="N68" s="19"/>
      <c r="O68" s="18"/>
      <c r="P68" s="18"/>
      <c r="Q68" s="18"/>
    </row>
    <row r="69" spans="1:17">
      <c r="A69" s="18"/>
      <c r="B69" s="18"/>
      <c r="C69" s="514"/>
      <c r="D69" s="514"/>
      <c r="E69" s="514"/>
      <c r="F69" s="514"/>
      <c r="G69" s="514"/>
      <c r="H69" s="545"/>
      <c r="I69" s="19"/>
      <c r="J69" s="18"/>
      <c r="K69" s="19"/>
      <c r="L69" s="19"/>
      <c r="M69" s="19"/>
      <c r="N69" s="19"/>
      <c r="O69" s="18"/>
      <c r="P69" s="18"/>
      <c r="Q69" s="18"/>
    </row>
    <row r="70" spans="1:17">
      <c r="A70" s="18"/>
      <c r="B70" s="18"/>
      <c r="C70" s="514"/>
      <c r="D70" s="514"/>
      <c r="E70" s="514"/>
      <c r="F70" s="514"/>
      <c r="G70" s="514"/>
      <c r="H70" s="545"/>
      <c r="I70" s="18"/>
      <c r="J70" s="18"/>
      <c r="K70" s="19"/>
      <c r="L70" s="19"/>
      <c r="M70" s="19"/>
      <c r="N70" s="19"/>
      <c r="O70" s="18"/>
      <c r="P70" s="18"/>
      <c r="Q70" s="18"/>
    </row>
    <row r="71" spans="1:17">
      <c r="A71" s="18"/>
      <c r="B71" s="18"/>
      <c r="C71" s="514"/>
      <c r="D71" s="514"/>
      <c r="E71" s="514"/>
      <c r="F71" s="514"/>
      <c r="G71" s="514"/>
      <c r="H71" s="545"/>
      <c r="I71" s="18"/>
      <c r="J71" s="19"/>
      <c r="K71" s="19"/>
      <c r="L71" s="19"/>
      <c r="M71" s="19"/>
      <c r="N71" s="18"/>
      <c r="O71" s="18"/>
      <c r="P71" s="18"/>
    </row>
    <row r="72" spans="1:17">
      <c r="B72" s="18"/>
      <c r="C72" s="514"/>
      <c r="D72" s="514"/>
      <c r="E72" s="514"/>
      <c r="F72" s="514"/>
      <c r="G72" s="514"/>
      <c r="I72" s="18"/>
      <c r="J72" s="19"/>
      <c r="K72" s="19"/>
      <c r="L72" s="19"/>
      <c r="M72" s="18"/>
      <c r="N72" s="18"/>
      <c r="O72" s="18"/>
      <c r="P72" s="18"/>
    </row>
    <row r="73" spans="1:17">
      <c r="B73" s="18"/>
      <c r="C73" s="514"/>
      <c r="D73" s="514"/>
      <c r="E73" s="514"/>
      <c r="F73" s="514"/>
      <c r="G73" s="514"/>
      <c r="I73" s="18"/>
      <c r="J73" s="19"/>
      <c r="K73" s="19"/>
      <c r="L73" s="18"/>
      <c r="M73" s="18"/>
      <c r="N73" s="18"/>
      <c r="O73" s="18"/>
    </row>
    <row r="74" spans="1:17">
      <c r="B74" s="18"/>
      <c r="C74" s="514"/>
      <c r="D74" s="514"/>
      <c r="E74" s="514"/>
      <c r="F74" s="514"/>
      <c r="G74" s="514"/>
      <c r="I74" s="18"/>
      <c r="J74" s="18"/>
      <c r="K74" s="18"/>
      <c r="L74" s="18"/>
      <c r="M74" s="18"/>
      <c r="N74" s="18"/>
      <c r="O74" s="18"/>
    </row>
    <row r="75" spans="1:17">
      <c r="B75" s="18"/>
      <c r="C75" s="514"/>
      <c r="D75" s="514"/>
      <c r="E75" s="514"/>
      <c r="F75" s="514"/>
      <c r="G75" s="514"/>
      <c r="I75" s="18"/>
      <c r="J75" s="18"/>
      <c r="K75" s="18"/>
      <c r="L75" s="18"/>
      <c r="M75" s="18"/>
      <c r="N75" s="18"/>
      <c r="O75" s="18"/>
    </row>
    <row r="76" spans="1:17">
      <c r="B76" s="18"/>
      <c r="C76" s="514"/>
      <c r="D76" s="514"/>
      <c r="E76" s="514"/>
      <c r="F76" s="514"/>
      <c r="G76" s="514"/>
      <c r="I76" s="18"/>
      <c r="J76" s="18"/>
      <c r="K76" s="18"/>
      <c r="L76" s="18"/>
      <c r="M76" s="18"/>
      <c r="N76" s="18"/>
      <c r="O76" s="18"/>
    </row>
    <row r="77" spans="1:17">
      <c r="I77" s="18"/>
      <c r="J77" s="18"/>
      <c r="K77" s="18"/>
      <c r="L77" s="18"/>
    </row>
    <row r="78" spans="1:17">
      <c r="I78" s="18"/>
      <c r="J78" s="18"/>
      <c r="K78" s="18"/>
      <c r="L78" s="18"/>
    </row>
    <row r="79" spans="1:17">
      <c r="I79" s="18"/>
      <c r="J79" s="18"/>
      <c r="K79" s="18"/>
      <c r="L79" s="18"/>
    </row>
    <row r="80" spans="1:17">
      <c r="J80" s="18"/>
      <c r="K80" s="18"/>
      <c r="L80" s="18"/>
    </row>
    <row r="81" spans="10:12">
      <c r="J81" s="18"/>
      <c r="K81" s="18"/>
      <c r="L81" s="18"/>
    </row>
    <row r="82" spans="10:12">
      <c r="J82" s="18"/>
      <c r="K82" s="18"/>
    </row>
    <row r="83" spans="10:12">
      <c r="J83" s="18"/>
      <c r="K83" s="18"/>
    </row>
  </sheetData>
  <mergeCells count="10">
    <mergeCell ref="B66:F66"/>
    <mergeCell ref="K50:M50"/>
    <mergeCell ref="B16:C16"/>
    <mergeCell ref="C34:C35"/>
    <mergeCell ref="K33:M33"/>
    <mergeCell ref="B7:D7"/>
    <mergeCell ref="D34:F34"/>
    <mergeCell ref="K31:M31"/>
    <mergeCell ref="K4:L4"/>
    <mergeCell ref="K40:M40"/>
  </mergeCells>
  <dataValidations count="3">
    <dataValidation type="list" allowBlank="1" showInputMessage="1" showErrorMessage="1" sqref="G2:G3 G5" xr:uid="{C1BCED0F-D949-4C45-8A28-71F4A5F9BA90}">
      <formula1>#REF!</formula1>
    </dataValidation>
    <dataValidation type="list" allowBlank="1" showInputMessage="1" showErrorMessage="1" sqref="C6" xr:uid="{CE116A55-373C-47FA-A407-0007B507FF87}">
      <formula1>$A$30:$A$31</formula1>
    </dataValidation>
    <dataValidation type="list" allowBlank="1" showInputMessage="1" showErrorMessage="1" sqref="G6" xr:uid="{59950A5A-B2B3-47C4-B0C9-90635C80209A}">
      <formula1>$E$7:$E$9</formula1>
    </dataValidation>
  </dataValidation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127"/>
  <sheetViews>
    <sheetView tabSelected="1" topLeftCell="A41" zoomScale="90" zoomScaleNormal="90" workbookViewId="0">
      <selection activeCell="F38" sqref="F38"/>
    </sheetView>
  </sheetViews>
  <sheetFormatPr defaultColWidth="8.88671875" defaultRowHeight="14.4"/>
  <cols>
    <col min="1" max="1" width="6.6640625" style="264" customWidth="1"/>
    <col min="2" max="2" width="53" style="264" customWidth="1"/>
    <col min="3" max="3" width="10.6640625" style="264" customWidth="1"/>
    <col min="4" max="4" width="14.44140625" style="264" customWidth="1"/>
    <col min="5" max="5" width="18" style="264" customWidth="1"/>
    <col min="6" max="6" width="10.6640625" style="264" customWidth="1"/>
    <col min="7" max="7" width="12.6640625" style="264" customWidth="1"/>
    <col min="8" max="8" width="10.6640625" style="264" customWidth="1"/>
    <col min="9" max="9" width="10.88671875" style="264" customWidth="1"/>
    <col min="10" max="16384" width="8.88671875" style="264"/>
  </cols>
  <sheetData>
    <row r="1" spans="1:12" ht="15.6">
      <c r="B1" s="1" t="s">
        <v>132</v>
      </c>
    </row>
    <row r="2" spans="1:12">
      <c r="B2" s="265" t="s">
        <v>13</v>
      </c>
      <c r="C2" s="266"/>
      <c r="D2" s="266"/>
    </row>
    <row r="3" spans="1:12">
      <c r="B3" s="266" t="s">
        <v>1</v>
      </c>
      <c r="C3" s="267">
        <v>46203</v>
      </c>
      <c r="D3" s="266"/>
    </row>
    <row r="4" spans="1:12">
      <c r="B4" s="266" t="s">
        <v>111</v>
      </c>
      <c r="C4" s="267">
        <v>46112</v>
      </c>
      <c r="D4" s="266"/>
      <c r="K4" s="264">
        <v>1</v>
      </c>
      <c r="L4" s="316" t="s">
        <v>260</v>
      </c>
    </row>
    <row r="5" spans="1:12">
      <c r="B5" s="266" t="s">
        <v>262</v>
      </c>
      <c r="C5" s="268">
        <v>1</v>
      </c>
      <c r="D5" s="266"/>
      <c r="K5" s="264">
        <v>2</v>
      </c>
      <c r="L5" s="316" t="s">
        <v>261</v>
      </c>
    </row>
    <row r="6" spans="1:12">
      <c r="B6" s="266" t="s">
        <v>103</v>
      </c>
      <c r="C6" s="625">
        <f>WACC!O9</f>
        <v>6.457705496977896E-2</v>
      </c>
      <c r="D6" s="266"/>
    </row>
    <row r="7" spans="1:12">
      <c r="A7" s="266"/>
      <c r="B7" s="266" t="s">
        <v>110</v>
      </c>
      <c r="C7" s="269">
        <f>WACC!I27</f>
        <v>0.21</v>
      </c>
      <c r="D7" s="266"/>
      <c r="E7" s="266"/>
      <c r="F7" s="266"/>
      <c r="G7" s="266"/>
    </row>
    <row r="8" spans="1:12">
      <c r="A8" s="270"/>
      <c r="B8" s="271"/>
      <c r="C8" s="271"/>
      <c r="J8" s="272"/>
    </row>
    <row r="9" spans="1:12">
      <c r="A9" s="270"/>
      <c r="B9" s="271" t="s">
        <v>190</v>
      </c>
      <c r="C9" s="63">
        <v>46203</v>
      </c>
      <c r="D9" s="63">
        <v>46387</v>
      </c>
      <c r="E9" s="63">
        <f>EDATE(D9,12)</f>
        <v>46752</v>
      </c>
      <c r="F9" s="63">
        <f t="shared" ref="F9:I9" si="0">EDATE(E9,12)</f>
        <v>47118</v>
      </c>
      <c r="G9" s="63">
        <f t="shared" si="0"/>
        <v>47483</v>
      </c>
      <c r="H9" s="63">
        <f t="shared" si="0"/>
        <v>47848</v>
      </c>
      <c r="I9" s="63">
        <f t="shared" si="0"/>
        <v>48213</v>
      </c>
      <c r="J9" s="273"/>
    </row>
    <row r="10" spans="1:12">
      <c r="A10" s="270"/>
      <c r="B10" s="271" t="s">
        <v>191</v>
      </c>
      <c r="C10" s="2">
        <v>46203</v>
      </c>
      <c r="D10" s="2">
        <f>AVERAGE(C9:D9)</f>
        <v>46295</v>
      </c>
      <c r="E10" s="2">
        <f t="shared" ref="E10:I10" si="1">AVERAGE(D9:E9)</f>
        <v>46569.5</v>
      </c>
      <c r="F10" s="2">
        <f t="shared" si="1"/>
        <v>46935</v>
      </c>
      <c r="G10" s="2">
        <f t="shared" si="1"/>
        <v>47300.5</v>
      </c>
      <c r="H10" s="2">
        <f t="shared" si="1"/>
        <v>47665.5</v>
      </c>
      <c r="I10" s="2">
        <f t="shared" si="1"/>
        <v>48030.5</v>
      </c>
    </row>
    <row r="11" spans="1:12">
      <c r="A11" s="266"/>
      <c r="B11" s="266" t="s">
        <v>112</v>
      </c>
      <c r="C11" s="266"/>
      <c r="D11" s="274">
        <f>'McD IS'!I34</f>
        <v>14154.224661128364</v>
      </c>
      <c r="E11" s="274">
        <f>'McD IS'!J34</f>
        <v>15459.332419267941</v>
      </c>
      <c r="F11" s="274">
        <f>'McD IS'!K34</f>
        <v>16386.892364424017</v>
      </c>
      <c r="G11" s="274">
        <f>'McD IS'!L34</f>
        <v>17370.105906289464</v>
      </c>
      <c r="H11" s="274">
        <f>'McD IS'!M34</f>
        <v>18412.312260666833</v>
      </c>
      <c r="I11" s="274">
        <f>'McD IS'!N34</f>
        <v>19517.05099630684</v>
      </c>
    </row>
    <row r="12" spans="1:12">
      <c r="A12" s="266"/>
      <c r="B12" s="266" t="s">
        <v>258</v>
      </c>
      <c r="C12" s="266"/>
      <c r="D12" s="274">
        <f>D11*$C$7</f>
        <v>2972.3871788369565</v>
      </c>
      <c r="E12" s="274">
        <f t="shared" ref="E12:I12" si="2">E11*$C$7</f>
        <v>3246.4598080462674</v>
      </c>
      <c r="F12" s="274">
        <f t="shared" si="2"/>
        <v>3441.2473965290433</v>
      </c>
      <c r="G12" s="274">
        <f t="shared" si="2"/>
        <v>3647.7222403207875</v>
      </c>
      <c r="H12" s="274">
        <f t="shared" si="2"/>
        <v>3866.5855747400346</v>
      </c>
      <c r="I12" s="274">
        <f t="shared" si="2"/>
        <v>4098.5807092244359</v>
      </c>
    </row>
    <row r="13" spans="1:12">
      <c r="A13" s="270"/>
      <c r="B13" s="270" t="s">
        <v>113</v>
      </c>
      <c r="C13" s="270"/>
      <c r="D13" s="275">
        <f>D11-D12</f>
        <v>11181.837482291408</v>
      </c>
      <c r="E13" s="275">
        <f t="shared" ref="E13:I13" si="3">E11-E12</f>
        <v>12212.872611221674</v>
      </c>
      <c r="F13" s="275">
        <f t="shared" si="3"/>
        <v>12945.644967894974</v>
      </c>
      <c r="G13" s="275">
        <f t="shared" si="3"/>
        <v>13722.383665968677</v>
      </c>
      <c r="H13" s="275">
        <f t="shared" si="3"/>
        <v>14545.726685926798</v>
      </c>
      <c r="I13" s="275">
        <f t="shared" si="3"/>
        <v>15418.470287082404</v>
      </c>
    </row>
    <row r="14" spans="1:12">
      <c r="A14" s="266"/>
      <c r="B14" s="276" t="s">
        <v>114</v>
      </c>
      <c r="C14" s="276"/>
      <c r="D14" s="277">
        <f>'McD-CFS'!H8</f>
        <v>1611.7207292727501</v>
      </c>
      <c r="E14" s="277">
        <f>'McD-CFS'!I8</f>
        <v>2264.9842467442122</v>
      </c>
      <c r="F14" s="277">
        <f>'McD-CFS'!J8</f>
        <v>2348.9095994465065</v>
      </c>
      <c r="G14" s="277">
        <f>'McD-CFS'!K8</f>
        <v>2441.5179800793157</v>
      </c>
      <c r="H14" s="277">
        <f>'McD-CFS'!L8</f>
        <v>2543.0743888300035</v>
      </c>
      <c r="I14" s="277">
        <f>'McD-CFS'!M8</f>
        <v>2653.8776906403805</v>
      </c>
    </row>
    <row r="15" spans="1:12">
      <c r="A15" s="266"/>
      <c r="B15" s="276" t="s">
        <v>233</v>
      </c>
      <c r="C15" s="276"/>
      <c r="D15" s="278">
        <f>'McD-CFS'!H11</f>
        <v>33.141529621811969</v>
      </c>
      <c r="E15" s="278">
        <f>'McD-CFS'!I11</f>
        <v>-145.41378071768213</v>
      </c>
      <c r="F15" s="278">
        <f>'McD-CFS'!J11</f>
        <v>-153.61633506575163</v>
      </c>
      <c r="G15" s="278">
        <f>'McD-CFS'!K11</f>
        <v>-162.83331516969884</v>
      </c>
      <c r="H15" s="278">
        <f>'McD-CFS'!L11</f>
        <v>-172.60331407987906</v>
      </c>
      <c r="I15" s="278">
        <f>'McD-CFS'!M11</f>
        <v>-182.95951292467225</v>
      </c>
    </row>
    <row r="16" spans="1:12">
      <c r="A16" s="266"/>
      <c r="B16" s="276" t="s">
        <v>115</v>
      </c>
      <c r="C16" s="276"/>
      <c r="D16" s="279">
        <f>'McD-CFS'!H15</f>
        <v>-2375.7676913788646</v>
      </c>
      <c r="E16" s="279">
        <f>'McD-CFS'!I15</f>
        <v>-3264.9483947766521</v>
      </c>
      <c r="F16" s="279">
        <f>'McD-CFS'!J15</f>
        <v>-3460.8452984632513</v>
      </c>
      <c r="G16" s="279">
        <f>'McD-CFS'!K15</f>
        <v>-3668.4960163710471</v>
      </c>
      <c r="H16" s="279">
        <f>'McD-CFS'!L15</f>
        <v>-3888.6057773533103</v>
      </c>
      <c r="I16" s="279">
        <f>'McD-CFS'!M15</f>
        <v>-4121.9221239945091</v>
      </c>
    </row>
    <row r="17" spans="1:19">
      <c r="A17" s="270"/>
      <c r="B17" s="270" t="s">
        <v>259</v>
      </c>
      <c r="C17" s="270">
        <v>0</v>
      </c>
      <c r="D17" s="275">
        <f>SUM(D13:D16)</f>
        <v>10450.932049807107</v>
      </c>
      <c r="E17" s="275">
        <f t="shared" ref="E17:I17" si="4">SUM(E13:E16)</f>
        <v>11067.494682471552</v>
      </c>
      <c r="F17" s="275">
        <f t="shared" si="4"/>
        <v>11680.092933812477</v>
      </c>
      <c r="G17" s="275">
        <f t="shared" si="4"/>
        <v>12332.572314507246</v>
      </c>
      <c r="H17" s="275">
        <f t="shared" si="4"/>
        <v>13027.591983323611</v>
      </c>
      <c r="I17" s="275">
        <f t="shared" si="4"/>
        <v>13767.466340803601</v>
      </c>
    </row>
    <row r="18" spans="1:19">
      <c r="A18" s="281"/>
      <c r="B18" s="270" t="s">
        <v>133</v>
      </c>
      <c r="C18" s="626">
        <f>XNPV(C6,C17:I17,C9:I9)</f>
        <v>59666.902987079127</v>
      </c>
      <c r="D18" s="280"/>
      <c r="E18" s="280"/>
      <c r="F18" s="280"/>
      <c r="G18" s="280"/>
      <c r="H18" s="280"/>
    </row>
    <row r="19" spans="1:19">
      <c r="A19" s="269"/>
      <c r="B19" s="266" t="s">
        <v>134</v>
      </c>
      <c r="C19" s="626">
        <f>XNPV(C6,C17:I17,C10:I10)</f>
        <v>61406.842145474729</v>
      </c>
      <c r="D19" s="282"/>
      <c r="E19" s="282"/>
      <c r="F19" s="282"/>
      <c r="G19" s="282"/>
      <c r="H19" s="282"/>
    </row>
    <row r="20" spans="1:19">
      <c r="A20" s="266"/>
      <c r="B20" s="266"/>
      <c r="C20" s="279"/>
      <c r="D20" s="283"/>
      <c r="E20" s="283"/>
      <c r="F20" s="283"/>
      <c r="G20" s="283"/>
    </row>
    <row r="21" spans="1:19">
      <c r="A21" s="266"/>
      <c r="B21" s="270" t="s">
        <v>135</v>
      </c>
      <c r="C21" s="3">
        <f>CHOOSE(C5,C18,C19)</f>
        <v>59666.902987079127</v>
      </c>
      <c r="D21" s="266"/>
      <c r="E21" s="266"/>
      <c r="F21" s="266"/>
      <c r="G21" s="266"/>
    </row>
    <row r="22" spans="1:19" ht="15" thickBot="1">
      <c r="A22" s="266"/>
      <c r="B22" s="266"/>
      <c r="C22" s="266"/>
      <c r="D22" s="279"/>
      <c r="E22" s="283"/>
      <c r="F22" s="283"/>
      <c r="G22" s="283"/>
    </row>
    <row r="23" spans="1:19" ht="28.8">
      <c r="A23" s="266"/>
      <c r="B23" s="4" t="s">
        <v>116</v>
      </c>
      <c r="C23" s="5"/>
      <c r="D23" s="6" t="s">
        <v>237</v>
      </c>
      <c r="E23" s="284"/>
      <c r="F23" s="279"/>
      <c r="G23" s="279"/>
      <c r="I23" s="701" t="s">
        <v>270</v>
      </c>
      <c r="J23" s="702"/>
      <c r="K23" s="702"/>
      <c r="L23" s="702"/>
      <c r="M23" s="702"/>
      <c r="N23" s="702"/>
      <c r="O23" s="702"/>
      <c r="P23" s="702"/>
      <c r="Q23" s="702"/>
      <c r="R23" s="702"/>
      <c r="S23" s="702"/>
    </row>
    <row r="24" spans="1:19">
      <c r="A24" s="266"/>
      <c r="B24" s="7" t="s">
        <v>234</v>
      </c>
      <c r="C24" s="8"/>
      <c r="D24" s="285">
        <v>1.7500000000000002E-2</v>
      </c>
      <c r="E24" s="284"/>
      <c r="F24" s="279"/>
      <c r="G24" s="279"/>
      <c r="I24" s="283"/>
      <c r="J24" s="266"/>
      <c r="K24" s="706" t="s">
        <v>103</v>
      </c>
      <c r="L24" s="706"/>
      <c r="M24" s="706"/>
      <c r="N24" s="706"/>
      <c r="O24" s="706"/>
      <c r="P24" s="706"/>
      <c r="Q24" s="706"/>
      <c r="R24" s="706"/>
      <c r="S24" s="706"/>
    </row>
    <row r="25" spans="1:19">
      <c r="A25" s="266"/>
      <c r="B25" s="7" t="s">
        <v>117</v>
      </c>
      <c r="C25" s="8"/>
      <c r="D25" s="9">
        <f>I17*(1-D24)/(C6-D24)</f>
        <v>287327.56729414948</v>
      </c>
      <c r="E25" s="279"/>
      <c r="F25" s="279"/>
      <c r="G25" s="279"/>
      <c r="I25" s="279"/>
      <c r="J25" s="322">
        <f>D38</f>
        <v>318.38606518402378</v>
      </c>
      <c r="K25" s="286">
        <v>5.6599999999999998E-2</v>
      </c>
      <c r="L25" s="286">
        <f>K25+0.2%</f>
        <v>5.8599999999999999E-2</v>
      </c>
      <c r="M25" s="286">
        <f t="shared" ref="M25:S25" si="5">L25+0.2%</f>
        <v>6.0600000000000001E-2</v>
      </c>
      <c r="N25" s="286">
        <f t="shared" si="5"/>
        <v>6.2600000000000003E-2</v>
      </c>
      <c r="O25" s="286">
        <f t="shared" si="5"/>
        <v>6.4600000000000005E-2</v>
      </c>
      <c r="P25" s="286">
        <f>O25+0.2%</f>
        <v>6.6600000000000006E-2</v>
      </c>
      <c r="Q25" s="286">
        <f t="shared" si="5"/>
        <v>6.8600000000000008E-2</v>
      </c>
      <c r="R25" s="286">
        <f t="shared" si="5"/>
        <v>7.060000000000001E-2</v>
      </c>
      <c r="S25" s="286">
        <f t="shared" si="5"/>
        <v>7.2600000000000012E-2</v>
      </c>
    </row>
    <row r="26" spans="1:19" ht="16.2">
      <c r="A26" s="266"/>
      <c r="B26" s="7"/>
      <c r="C26" s="8"/>
      <c r="D26" s="657" t="s">
        <v>265</v>
      </c>
      <c r="E26" s="658" t="s">
        <v>266</v>
      </c>
      <c r="F26" s="287"/>
      <c r="G26" s="279"/>
      <c r="I26" s="707" t="s">
        <v>119</v>
      </c>
      <c r="J26" s="650">
        <v>1.35E-2</v>
      </c>
      <c r="K26" s="324">
        <f t="dataTable" ref="K26:S34" dt2D="1" dtr="1" r1="C6" r2="D24" ca="1"/>
        <v>361.11961072321526</v>
      </c>
      <c r="L26" s="325">
        <v>342.94328684666516</v>
      </c>
      <c r="M26" s="325">
        <v>326.31177700545987</v>
      </c>
      <c r="N26" s="325">
        <v>311.03629501327771</v>
      </c>
      <c r="O26" s="325">
        <v>296.95761034363602</v>
      </c>
      <c r="P26" s="325">
        <v>283.94048209151532</v>
      </c>
      <c r="Q26" s="325">
        <v>271.86930513935067</v>
      </c>
      <c r="R26" s="336">
        <v>260.64467131440983</v>
      </c>
      <c r="S26" s="337">
        <v>250.1806287883324</v>
      </c>
    </row>
    <row r="27" spans="1:19">
      <c r="A27" s="266"/>
      <c r="B27" s="7" t="s">
        <v>263</v>
      </c>
      <c r="C27" s="8"/>
      <c r="D27" s="317">
        <f>(I9-C9)/365</f>
        <v>5.506849315068493</v>
      </c>
      <c r="E27" s="659">
        <f>(I10-C10)/365</f>
        <v>5.006849315068493</v>
      </c>
      <c r="F27" s="279"/>
      <c r="G27" s="279"/>
      <c r="I27" s="707"/>
      <c r="J27" s="650">
        <f>J26+0.1%</f>
        <v>1.4499999999999999E-2</v>
      </c>
      <c r="K27" s="326">
        <v>368.52801110814346</v>
      </c>
      <c r="L27" s="289">
        <v>349.6178726277775</v>
      </c>
      <c r="M27" s="289">
        <v>332.34959243399197</v>
      </c>
      <c r="N27" s="289">
        <v>316.51835581253039</v>
      </c>
      <c r="O27" s="289">
        <v>301.95205306445263</v>
      </c>
      <c r="P27" s="289">
        <v>288.50500215157172</v>
      </c>
      <c r="Q27" s="289">
        <v>276.05306373106669</v>
      </c>
      <c r="R27" s="288">
        <v>264.48980110247476</v>
      </c>
      <c r="S27" s="330">
        <v>253.72343328094641</v>
      </c>
    </row>
    <row r="28" spans="1:19" ht="15" thickBot="1">
      <c r="A28" s="266"/>
      <c r="B28" s="7" t="s">
        <v>118</v>
      </c>
      <c r="C28" s="8"/>
      <c r="D28" s="9">
        <f>PV($C$6,D27,0,-$D$25,0)</f>
        <v>203571.55452172185</v>
      </c>
      <c r="E28" s="344">
        <f>PV($C$6,E27,0,-$D$25,0)</f>
        <v>210041.75761803967</v>
      </c>
      <c r="F28" s="279"/>
      <c r="G28" s="279"/>
      <c r="I28" s="707"/>
      <c r="J28" s="650">
        <f t="shared" ref="J28:J34" si="6">J27+0.1%</f>
        <v>1.55E-2</v>
      </c>
      <c r="K28" s="326">
        <v>376.29691759452811</v>
      </c>
      <c r="L28" s="289">
        <v>356.60218396717812</v>
      </c>
      <c r="M28" s="289">
        <v>338.65516020968744</v>
      </c>
      <c r="N28" s="289">
        <v>322.23320050984034</v>
      </c>
      <c r="O28" s="289">
        <v>307.14993540729853</v>
      </c>
      <c r="P28" s="289">
        <v>293.24817270321546</v>
      </c>
      <c r="Q28" s="289">
        <v>280.39440268405258</v>
      </c>
      <c r="R28" s="288">
        <v>268.47450002985227</v>
      </c>
      <c r="S28" s="330">
        <v>257.39032899922108</v>
      </c>
    </row>
    <row r="29" spans="1:19">
      <c r="A29" s="270"/>
      <c r="B29" s="7" t="s">
        <v>264</v>
      </c>
      <c r="C29" s="8"/>
      <c r="D29" s="9">
        <f>CHOOSE(C5,D28,E28)</f>
        <v>203571.55452172185</v>
      </c>
      <c r="E29" s="279"/>
      <c r="F29" s="284"/>
      <c r="G29" s="284"/>
      <c r="I29" s="707"/>
      <c r="J29" s="650">
        <f t="shared" si="6"/>
        <v>1.6500000000000001E-2</v>
      </c>
      <c r="K29" s="326">
        <v>384.45330071364998</v>
      </c>
      <c r="L29" s="289">
        <v>363.9182915697333</v>
      </c>
      <c r="M29" s="289">
        <v>345.2466947779314</v>
      </c>
      <c r="N29" s="627">
        <v>328.19597773197961</v>
      </c>
      <c r="O29" s="628">
        <v>312.56394591408809</v>
      </c>
      <c r="P29" s="629">
        <v>298.1806913806733</v>
      </c>
      <c r="Q29" s="289">
        <v>284.90239572352556</v>
      </c>
      <c r="R29" s="288">
        <v>272.60650760519201</v>
      </c>
      <c r="S29" s="330">
        <v>261.18795183757692</v>
      </c>
    </row>
    <row r="30" spans="1:19">
      <c r="A30" s="266"/>
      <c r="B30" s="10" t="s">
        <v>120</v>
      </c>
      <c r="C30" s="11"/>
      <c r="D30" s="12">
        <f>C21+D29</f>
        <v>263238.45750880096</v>
      </c>
      <c r="E30" s="284"/>
      <c r="F30" s="279"/>
      <c r="G30" s="279"/>
      <c r="I30" s="707"/>
      <c r="J30" s="650">
        <f t="shared" si="6"/>
        <v>1.7500000000000002E-2</v>
      </c>
      <c r="K30" s="326">
        <v>393.0268901304251</v>
      </c>
      <c r="L30" s="289">
        <v>371.59041414078257</v>
      </c>
      <c r="M30" s="289">
        <v>352.14410101987579</v>
      </c>
      <c r="N30" s="326">
        <v>334.42317966463486</v>
      </c>
      <c r="O30" s="323">
        <v>318.20785070991332</v>
      </c>
      <c r="P30" s="630">
        <v>303.31412731586875</v>
      </c>
      <c r="Q30" s="289">
        <v>289.58682684673516</v>
      </c>
      <c r="R30" s="288">
        <v>276.89414635097768</v>
      </c>
      <c r="S30" s="330">
        <v>265.1234194250564</v>
      </c>
    </row>
    <row r="31" spans="1:19">
      <c r="A31" s="266"/>
      <c r="B31" s="7" t="s">
        <v>121</v>
      </c>
      <c r="C31" s="8"/>
      <c r="D31" s="9">
        <f>'McD-BS'!G13</f>
        <v>2865</v>
      </c>
      <c r="E31" s="279"/>
      <c r="F31" s="279"/>
      <c r="G31" s="279"/>
      <c r="I31" s="707"/>
      <c r="J31" s="650">
        <f t="shared" si="6"/>
        <v>1.8500000000000003E-2</v>
      </c>
      <c r="K31" s="326">
        <v>402.05053673443268</v>
      </c>
      <c r="L31" s="289">
        <v>379.64518621662233</v>
      </c>
      <c r="M31" s="289">
        <v>359.36917501678187</v>
      </c>
      <c r="N31" s="338">
        <v>340.93279438335168</v>
      </c>
      <c r="O31" s="327">
        <v>324.09661037757479</v>
      </c>
      <c r="P31" s="631">
        <v>308.66101173069808</v>
      </c>
      <c r="Q31" s="289">
        <v>294.45826120839632</v>
      </c>
      <c r="R31" s="288">
        <v>281.34637775495099</v>
      </c>
      <c r="S31" s="330">
        <v>269.20437564793247</v>
      </c>
    </row>
    <row r="32" spans="1:19">
      <c r="A32" s="266"/>
      <c r="B32" s="10" t="s">
        <v>267</v>
      </c>
      <c r="C32" s="11"/>
      <c r="D32" s="12">
        <f>D30+D31</f>
        <v>266103.45750880096</v>
      </c>
      <c r="E32" s="279"/>
      <c r="F32" s="279"/>
      <c r="G32" s="279"/>
      <c r="I32" s="707"/>
      <c r="J32" s="650">
        <f t="shared" si="6"/>
        <v>1.9500000000000003E-2</v>
      </c>
      <c r="K32" s="326">
        <v>411.56063329013875</v>
      </c>
      <c r="L32" s="289">
        <v>388.11196709429544</v>
      </c>
      <c r="M32" s="289">
        <v>366.94583412302649</v>
      </c>
      <c r="N32" s="289">
        <v>347.74447939063998</v>
      </c>
      <c r="O32" s="289">
        <v>330.24651238083095</v>
      </c>
      <c r="P32" s="289">
        <v>314.23494006972402</v>
      </c>
      <c r="Q32" s="289">
        <v>299.52812466829204</v>
      </c>
      <c r="R32" s="288">
        <v>285.97286479117366</v>
      </c>
      <c r="S32" s="330">
        <v>273.43904020312027</v>
      </c>
    </row>
    <row r="33" spans="1:19">
      <c r="A33" s="270"/>
      <c r="B33" s="7" t="s">
        <v>123</v>
      </c>
      <c r="C33" s="8"/>
      <c r="D33" s="9">
        <f>'McD-BS'!G24+'McD-BS'!G31</f>
        <v>40105</v>
      </c>
      <c r="E33" s="284"/>
      <c r="F33" s="284"/>
      <c r="G33" s="284"/>
      <c r="I33" s="707"/>
      <c r="J33" s="650">
        <f t="shared" si="6"/>
        <v>2.0500000000000004E-2</v>
      </c>
      <c r="K33" s="326">
        <v>421.59760500128561</v>
      </c>
      <c r="L33" s="289">
        <v>397.0231984117413</v>
      </c>
      <c r="M33" s="289">
        <v>374.90038146399644</v>
      </c>
      <c r="N33" s="289">
        <v>354.87975988521043</v>
      </c>
      <c r="O33" s="289">
        <v>336.67532150441627</v>
      </c>
      <c r="P33" s="289">
        <v>320.05068742562742</v>
      </c>
      <c r="Q33" s="289">
        <v>304.80879326165547</v>
      </c>
      <c r="R33" s="288">
        <v>290.78404192864275</v>
      </c>
      <c r="S33" s="330">
        <v>277.83626385831536</v>
      </c>
    </row>
    <row r="34" spans="1:19">
      <c r="A34" s="266"/>
      <c r="B34" s="7" t="s">
        <v>268</v>
      </c>
      <c r="C34" s="8"/>
      <c r="D34" s="9">
        <f>'McD-BS'!G7</f>
        <v>1170</v>
      </c>
      <c r="E34" s="284"/>
      <c r="F34" s="279"/>
      <c r="G34" s="279"/>
      <c r="I34" s="707"/>
      <c r="J34" s="650">
        <f t="shared" si="6"/>
        <v>2.1500000000000005E-2</v>
      </c>
      <c r="K34" s="338">
        <v>432.20648393244085</v>
      </c>
      <c r="L34" s="327">
        <v>406.41481955762089</v>
      </c>
      <c r="M34" s="327">
        <v>383.26181102189594</v>
      </c>
      <c r="N34" s="327">
        <v>362.36225597562373</v>
      </c>
      <c r="O34" s="327">
        <v>343.40245123698458</v>
      </c>
      <c r="P34" s="327">
        <v>326.12433932059525</v>
      </c>
      <c r="Q34" s="327">
        <v>310.3136940670513</v>
      </c>
      <c r="R34" s="339">
        <v>295.79119369492929</v>
      </c>
      <c r="S34" s="331">
        <v>282.40559020060215</v>
      </c>
    </row>
    <row r="35" spans="1:19">
      <c r="A35" s="270"/>
      <c r="B35" s="7" t="s">
        <v>235</v>
      </c>
      <c r="C35" s="8"/>
      <c r="D35" s="9">
        <f>'McD-BS'!G46</f>
        <v>0</v>
      </c>
      <c r="F35" s="329"/>
      <c r="G35" s="284"/>
      <c r="I35" s="284"/>
      <c r="J35" s="290"/>
      <c r="K35" s="270"/>
      <c r="L35" s="270"/>
      <c r="M35" s="270"/>
      <c r="N35" s="270"/>
      <c r="O35" s="270"/>
      <c r="P35" s="270"/>
      <c r="Q35" s="270"/>
      <c r="R35" s="270"/>
      <c r="S35" s="270"/>
    </row>
    <row r="36" spans="1:19">
      <c r="A36" s="266"/>
      <c r="B36" s="10" t="s">
        <v>236</v>
      </c>
      <c r="C36" s="11"/>
      <c r="D36" s="12">
        <f>D32-D33+D34-D35</f>
        <v>227168.45750880096</v>
      </c>
      <c r="G36" s="279"/>
      <c r="I36" s="279"/>
      <c r="J36" s="266"/>
      <c r="K36" s="266"/>
      <c r="L36" s="266"/>
      <c r="M36" s="266"/>
      <c r="N36" s="266"/>
      <c r="O36" s="266"/>
      <c r="P36" s="266"/>
      <c r="Q36" s="266"/>
      <c r="R36" s="266"/>
      <c r="S36" s="266"/>
    </row>
    <row r="37" spans="1:19" ht="15.6">
      <c r="A37" s="270"/>
      <c r="B37" s="7" t="s">
        <v>192</v>
      </c>
      <c r="C37" s="8"/>
      <c r="D37" s="9">
        <f>Raw!H45</f>
        <v>713.5</v>
      </c>
      <c r="E37" s="333" t="s">
        <v>274</v>
      </c>
      <c r="F37" s="329"/>
      <c r="G37" s="284"/>
      <c r="I37" s="701" t="s">
        <v>270</v>
      </c>
      <c r="J37" s="702"/>
      <c r="K37" s="702"/>
      <c r="L37" s="702"/>
      <c r="M37" s="702"/>
      <c r="N37" s="702"/>
      <c r="O37" s="702"/>
      <c r="P37" s="702"/>
      <c r="Q37" s="702"/>
      <c r="R37" s="702"/>
      <c r="S37" s="702"/>
    </row>
    <row r="38" spans="1:19">
      <c r="A38" s="266"/>
      <c r="B38" s="647" t="s">
        <v>125</v>
      </c>
      <c r="C38" s="648"/>
      <c r="D38" s="649">
        <f>D36/D37</f>
        <v>318.38606518402378</v>
      </c>
      <c r="E38" s="284" t="s">
        <v>272</v>
      </c>
      <c r="F38" s="328">
        <f>N31</f>
        <v>340.93279438335168</v>
      </c>
      <c r="G38" s="284"/>
      <c r="I38" s="283"/>
      <c r="J38" s="266"/>
      <c r="K38" s="706" t="s">
        <v>103</v>
      </c>
      <c r="L38" s="706"/>
      <c r="M38" s="706"/>
      <c r="N38" s="706"/>
      <c r="O38" s="706"/>
      <c r="P38" s="706"/>
      <c r="Q38" s="706"/>
      <c r="R38" s="706"/>
      <c r="S38" s="706"/>
    </row>
    <row r="39" spans="1:19" ht="15" thickBot="1">
      <c r="A39" s="266"/>
      <c r="B39" s="266"/>
      <c r="C39" s="266"/>
      <c r="D39" s="279"/>
      <c r="E39" s="284" t="s">
        <v>271</v>
      </c>
      <c r="F39" s="328">
        <f>P29</f>
        <v>298.1806913806733</v>
      </c>
      <c r="G39" s="266" t="str">
        <f>IF(C55 &lt;F39,"UNDERVALUED - BUY", IF(C55&gt;F38, "OVERVALUED - SELL", "FAIRLYPRICED - HOLD"))</f>
        <v>UNDERVALUED - BUY</v>
      </c>
      <c r="I39" s="279"/>
      <c r="J39" s="321">
        <f>D53</f>
        <v>418.12415935915794</v>
      </c>
      <c r="K39" s="286">
        <v>5.6599999999999998E-2</v>
      </c>
      <c r="L39" s="286">
        <f>K39+0.2%</f>
        <v>5.8599999999999999E-2</v>
      </c>
      <c r="M39" s="286">
        <f t="shared" ref="M39" si="7">L39+0.2%</f>
        <v>6.0600000000000001E-2</v>
      </c>
      <c r="N39" s="286">
        <f t="shared" ref="N39" si="8">M39+0.2%</f>
        <v>6.2600000000000003E-2</v>
      </c>
      <c r="O39" s="286">
        <f t="shared" ref="O39" si="9">N39+0.2%</f>
        <v>6.4600000000000005E-2</v>
      </c>
      <c r="P39" s="286">
        <f>O39+0.2%</f>
        <v>6.6600000000000006E-2</v>
      </c>
      <c r="Q39" s="286">
        <f t="shared" ref="Q39" si="10">P39+0.2%</f>
        <v>6.8600000000000008E-2</v>
      </c>
      <c r="R39" s="286">
        <f t="shared" ref="R39" si="11">Q39+0.2%</f>
        <v>7.060000000000001E-2</v>
      </c>
      <c r="S39" s="286">
        <f t="shared" ref="S39" si="12">R39+0.2%</f>
        <v>7.2600000000000012E-2</v>
      </c>
    </row>
    <row r="40" spans="1:19" ht="17.25" customHeight="1">
      <c r="A40" s="266"/>
      <c r="B40" s="4" t="s">
        <v>117</v>
      </c>
      <c r="C40" s="13"/>
      <c r="D40" s="6" t="s">
        <v>126</v>
      </c>
      <c r="E40" s="266"/>
      <c r="F40" s="266"/>
      <c r="G40" s="266"/>
      <c r="I40" s="707" t="s">
        <v>128</v>
      </c>
      <c r="J40" s="651">
        <v>13.49</v>
      </c>
      <c r="K40" s="628">
        <f t="dataTable" ref="K40:S48" dt2D="1" dtr="1" r1="C6" r2="D41"/>
        <v>344.52608434105571</v>
      </c>
      <c r="L40" s="628">
        <v>340.83492551054229</v>
      </c>
      <c r="M40" s="628">
        <v>337.18747743259365</v>
      </c>
      <c r="N40" s="628">
        <v>333.5831347179523</v>
      </c>
      <c r="O40" s="628">
        <v>330.02130152012222</v>
      </c>
      <c r="P40" s="628">
        <v>326.50139136705167</v>
      </c>
      <c r="Q40" s="628">
        <v>323.02282699609714</v>
      </c>
      <c r="R40" s="652">
        <v>319.58504019219845</v>
      </c>
      <c r="S40" s="653">
        <v>316.18747162919556</v>
      </c>
    </row>
    <row r="41" spans="1:19">
      <c r="A41" s="266"/>
      <c r="B41" s="7" t="s">
        <v>273</v>
      </c>
      <c r="C41" s="8"/>
      <c r="D41" s="335">
        <v>17.489999999999998</v>
      </c>
      <c r="E41" s="266"/>
      <c r="F41" s="334"/>
      <c r="G41" s="266"/>
      <c r="I41" s="707"/>
      <c r="J41" s="654">
        <f>J40+1</f>
        <v>14.49</v>
      </c>
      <c r="K41" s="289">
        <v>367.47265560897659</v>
      </c>
      <c r="L41" s="289">
        <v>363.54377427343286</v>
      </c>
      <c r="M41" s="289">
        <v>359.66150820477344</v>
      </c>
      <c r="N41" s="289">
        <v>355.82521114903312</v>
      </c>
      <c r="O41" s="289">
        <v>352.0342470453179</v>
      </c>
      <c r="P41" s="289">
        <v>348.28798984594482</v>
      </c>
      <c r="Q41" s="289">
        <v>344.58582334008742</v>
      </c>
      <c r="R41" s="288">
        <v>340.92714098085486</v>
      </c>
      <c r="S41" s="330">
        <v>337.31134571572869</v>
      </c>
    </row>
    <row r="42" spans="1:19">
      <c r="A42" s="266"/>
      <c r="B42" s="7" t="s">
        <v>127</v>
      </c>
      <c r="C42" s="8"/>
      <c r="D42" s="9">
        <f>I11+I14</f>
        <v>22170.92868694722</v>
      </c>
      <c r="E42" s="266"/>
      <c r="F42" s="334"/>
      <c r="G42" s="266"/>
      <c r="I42" s="707"/>
      <c r="J42" s="654">
        <f t="shared" ref="J42:J48" si="13">J41+1</f>
        <v>15.49</v>
      </c>
      <c r="K42" s="289">
        <v>390.41922687689771</v>
      </c>
      <c r="L42" s="289">
        <v>386.25262303632343</v>
      </c>
      <c r="M42" s="289">
        <v>382.13553897695334</v>
      </c>
      <c r="N42" s="289">
        <v>378.06728758011394</v>
      </c>
      <c r="O42" s="289">
        <v>374.04719257051369</v>
      </c>
      <c r="P42" s="289">
        <v>370.07458832483792</v>
      </c>
      <c r="Q42" s="289">
        <v>366.14881968407775</v>
      </c>
      <c r="R42" s="288">
        <v>362.26924176951132</v>
      </c>
      <c r="S42" s="330">
        <v>358.43521980226188</v>
      </c>
    </row>
    <row r="43" spans="1:19">
      <c r="A43" s="266"/>
      <c r="B43" s="7" t="s">
        <v>117</v>
      </c>
      <c r="C43" s="8"/>
      <c r="D43" s="9">
        <f>D41*D42</f>
        <v>387769.54273470683</v>
      </c>
      <c r="E43" s="266"/>
      <c r="F43" s="266"/>
      <c r="G43" s="266"/>
      <c r="I43" s="707"/>
      <c r="J43" s="654">
        <f t="shared" si="13"/>
        <v>16.490000000000002</v>
      </c>
      <c r="K43" s="289">
        <v>413.3657981448186</v>
      </c>
      <c r="L43" s="289">
        <v>408.96147179921388</v>
      </c>
      <c r="M43" s="289">
        <v>404.60956974913313</v>
      </c>
      <c r="N43" s="627">
        <v>400.30936401119476</v>
      </c>
      <c r="O43" s="628">
        <v>396.06013809570953</v>
      </c>
      <c r="P43" s="629">
        <v>391.86118680373102</v>
      </c>
      <c r="Q43" s="289">
        <v>387.71181602806791</v>
      </c>
      <c r="R43" s="288">
        <v>383.61134255816779</v>
      </c>
      <c r="S43" s="330">
        <v>379.55909388879502</v>
      </c>
    </row>
    <row r="44" spans="1:19">
      <c r="A44" s="266"/>
      <c r="B44" s="7" t="s">
        <v>118</v>
      </c>
      <c r="C44" s="8"/>
      <c r="D44" s="9">
        <f>PV(C6,D27,0,-D43,0)</f>
        <v>274734.68471568008</v>
      </c>
      <c r="E44" s="266"/>
      <c r="F44" s="266"/>
      <c r="G44" s="266"/>
      <c r="I44" s="707"/>
      <c r="J44" s="654">
        <f t="shared" si="13"/>
        <v>17.490000000000002</v>
      </c>
      <c r="K44" s="289">
        <v>436.3123694127396</v>
      </c>
      <c r="L44" s="289">
        <v>431.67032056210445</v>
      </c>
      <c r="M44" s="289">
        <v>427.08360052131297</v>
      </c>
      <c r="N44" s="326">
        <v>422.55144044227563</v>
      </c>
      <c r="O44" s="323">
        <v>418.07308362090515</v>
      </c>
      <c r="P44" s="630">
        <v>413.64778528262411</v>
      </c>
      <c r="Q44" s="289">
        <v>409.27481237205825</v>
      </c>
      <c r="R44" s="288">
        <v>404.9534433468242</v>
      </c>
      <c r="S44" s="330">
        <v>400.68296797532815</v>
      </c>
    </row>
    <row r="45" spans="1:19">
      <c r="A45" s="266"/>
      <c r="B45" s="10" t="s">
        <v>120</v>
      </c>
      <c r="C45" s="11"/>
      <c r="D45" s="12">
        <f>D44+C21</f>
        <v>334401.58770275919</v>
      </c>
      <c r="E45" s="266"/>
      <c r="F45" s="266"/>
      <c r="G45" s="266"/>
      <c r="I45" s="707"/>
      <c r="J45" s="654">
        <f t="shared" si="13"/>
        <v>18.490000000000002</v>
      </c>
      <c r="K45" s="289">
        <v>459.2589406806606</v>
      </c>
      <c r="L45" s="289">
        <v>454.37916932499502</v>
      </c>
      <c r="M45" s="289">
        <v>449.55763129349282</v>
      </c>
      <c r="N45" s="338">
        <v>444.79351687335651</v>
      </c>
      <c r="O45" s="327">
        <v>440.08602914610094</v>
      </c>
      <c r="P45" s="631">
        <v>435.43438376151738</v>
      </c>
      <c r="Q45" s="289">
        <v>430.83780871604847</v>
      </c>
      <c r="R45" s="288">
        <v>426.29554413548067</v>
      </c>
      <c r="S45" s="330">
        <v>421.80684206186135</v>
      </c>
    </row>
    <row r="46" spans="1:19">
      <c r="A46" s="266"/>
      <c r="B46" s="7" t="s">
        <v>121</v>
      </c>
      <c r="C46" s="8"/>
      <c r="D46" s="9">
        <v>2865</v>
      </c>
      <c r="E46" s="266"/>
      <c r="F46" s="266"/>
      <c r="G46" s="266"/>
      <c r="I46" s="707"/>
      <c r="J46" s="654">
        <f t="shared" si="13"/>
        <v>19.490000000000002</v>
      </c>
      <c r="K46" s="289">
        <v>482.2055119485816</v>
      </c>
      <c r="L46" s="289">
        <v>477.08801808788559</v>
      </c>
      <c r="M46" s="289">
        <v>472.03166206567266</v>
      </c>
      <c r="N46" s="289">
        <v>467.03559330443727</v>
      </c>
      <c r="O46" s="289">
        <v>462.09897467129673</v>
      </c>
      <c r="P46" s="289">
        <v>457.22098224041048</v>
      </c>
      <c r="Q46" s="289">
        <v>452.40080506003875</v>
      </c>
      <c r="R46" s="288">
        <v>447.63764492413713</v>
      </c>
      <c r="S46" s="330">
        <v>442.93071614839448</v>
      </c>
    </row>
    <row r="47" spans="1:19">
      <c r="A47" s="266"/>
      <c r="B47" s="10" t="s">
        <v>122</v>
      </c>
      <c r="C47" s="11"/>
      <c r="D47" s="12">
        <f>D45+D46</f>
        <v>337266.58770275919</v>
      </c>
      <c r="E47" s="266"/>
      <c r="F47" s="266"/>
      <c r="G47" s="266"/>
      <c r="I47" s="707"/>
      <c r="J47" s="654">
        <f t="shared" si="13"/>
        <v>20.490000000000002</v>
      </c>
      <c r="K47" s="289">
        <v>505.15208321650255</v>
      </c>
      <c r="L47" s="289">
        <v>499.79686685077615</v>
      </c>
      <c r="M47" s="289">
        <v>494.50569283785245</v>
      </c>
      <c r="N47" s="289">
        <v>489.27766973551815</v>
      </c>
      <c r="O47" s="289">
        <v>484.11192019649235</v>
      </c>
      <c r="P47" s="289">
        <v>479.00758071930363</v>
      </c>
      <c r="Q47" s="289">
        <v>473.96380140402897</v>
      </c>
      <c r="R47" s="288">
        <v>468.97974571279354</v>
      </c>
      <c r="S47" s="330">
        <v>464.05459023492762</v>
      </c>
    </row>
    <row r="48" spans="1:19">
      <c r="A48" s="266"/>
      <c r="B48" s="7" t="s">
        <v>123</v>
      </c>
      <c r="C48" s="8"/>
      <c r="D48" s="9">
        <v>40105</v>
      </c>
      <c r="E48" s="266"/>
      <c r="F48" s="266"/>
      <c r="G48" s="266"/>
      <c r="I48" s="707"/>
      <c r="J48" s="655">
        <f t="shared" si="13"/>
        <v>21.490000000000002</v>
      </c>
      <c r="K48" s="327">
        <v>528.09865448442349</v>
      </c>
      <c r="L48" s="327">
        <v>522.50571561366667</v>
      </c>
      <c r="M48" s="327">
        <v>516.97972361003235</v>
      </c>
      <c r="N48" s="327">
        <v>511.51974616659896</v>
      </c>
      <c r="O48" s="327">
        <v>506.12486572168814</v>
      </c>
      <c r="P48" s="327">
        <v>500.79417919819673</v>
      </c>
      <c r="Q48" s="327">
        <v>495.52679774801919</v>
      </c>
      <c r="R48" s="339">
        <v>490.32184650145001</v>
      </c>
      <c r="S48" s="331">
        <v>485.17846432146081</v>
      </c>
    </row>
    <row r="49" spans="1:15">
      <c r="A49" s="266"/>
      <c r="B49" s="7" t="s">
        <v>124</v>
      </c>
      <c r="C49" s="8"/>
      <c r="D49" s="9">
        <v>1170</v>
      </c>
      <c r="E49" s="266"/>
      <c r="F49" s="266"/>
      <c r="G49" s="266"/>
    </row>
    <row r="50" spans="1:15">
      <c r="A50" s="266"/>
      <c r="B50" s="7" t="s">
        <v>235</v>
      </c>
      <c r="C50" s="8"/>
      <c r="D50" s="9">
        <v>0</v>
      </c>
      <c r="E50" s="266"/>
      <c r="F50" s="332"/>
      <c r="G50" s="266"/>
    </row>
    <row r="51" spans="1:15">
      <c r="A51" s="266"/>
      <c r="B51" s="10" t="s">
        <v>236</v>
      </c>
      <c r="C51" s="11"/>
      <c r="D51" s="12">
        <f>D47-D48+D49-D50</f>
        <v>298331.58770275919</v>
      </c>
      <c r="E51" s="266"/>
      <c r="F51" s="332"/>
      <c r="G51" s="266"/>
    </row>
    <row r="52" spans="1:15">
      <c r="A52" s="266"/>
      <c r="B52" s="7" t="s">
        <v>192</v>
      </c>
      <c r="C52" s="8"/>
      <c r="D52" s="9">
        <f>Raw!H45</f>
        <v>713.5</v>
      </c>
      <c r="E52" s="333" t="s">
        <v>274</v>
      </c>
      <c r="F52" s="332"/>
      <c r="G52" s="266"/>
    </row>
    <row r="53" spans="1:15">
      <c r="A53" s="266"/>
      <c r="B53" s="14" t="s">
        <v>125</v>
      </c>
      <c r="C53" s="15"/>
      <c r="D53" s="16">
        <f>D51/D52</f>
        <v>418.12415935915794</v>
      </c>
      <c r="E53" s="284" t="s">
        <v>272</v>
      </c>
      <c r="F53" s="656">
        <f>N45</f>
        <v>444.79351687335651</v>
      </c>
      <c r="G53" s="270"/>
    </row>
    <row r="54" spans="1:15">
      <c r="A54" s="266"/>
      <c r="B54" s="266"/>
      <c r="C54" s="266"/>
      <c r="D54" s="266"/>
      <c r="E54" s="284" t="s">
        <v>271</v>
      </c>
      <c r="F54" s="656">
        <f>P43</f>
        <v>391.86118680373102</v>
      </c>
      <c r="G54" s="266" t="str">
        <f>IF(C55 &lt;F54,"UNDERVALUED - BUY", IF(C55&gt;F53, "OVERVALUED - SELL", "FAIRLYPRICED - HOLD"))</f>
        <v>UNDERVALUED - BUY</v>
      </c>
    </row>
    <row r="55" spans="1:15">
      <c r="A55" s="266"/>
      <c r="B55" s="270" t="s">
        <v>537</v>
      </c>
      <c r="C55" s="270">
        <v>270.3</v>
      </c>
      <c r="D55" s="270"/>
      <c r="E55" s="266"/>
      <c r="F55" s="266"/>
      <c r="G55" s="266"/>
    </row>
    <row r="56" spans="1:15">
      <c r="A56" s="266"/>
      <c r="B56" s="266"/>
      <c r="C56" s="266"/>
      <c r="D56" s="266"/>
      <c r="E56" s="266"/>
      <c r="F56" s="266"/>
      <c r="G56" s="266"/>
    </row>
    <row r="57" spans="1:15">
      <c r="A57" s="266">
        <v>1</v>
      </c>
      <c r="B57" s="266" t="s">
        <v>129</v>
      </c>
      <c r="C57" s="266"/>
      <c r="D57" s="266"/>
      <c r="E57" s="270"/>
      <c r="F57" s="320"/>
      <c r="G57" s="266"/>
    </row>
    <row r="58" spans="1:15">
      <c r="A58" s="266">
        <v>2</v>
      </c>
      <c r="B58" s="266" t="s">
        <v>130</v>
      </c>
      <c r="C58" s="266"/>
      <c r="D58" s="266"/>
      <c r="E58" s="266"/>
      <c r="F58" s="266"/>
      <c r="G58" s="266"/>
      <c r="H58" s="343"/>
    </row>
    <row r="59" spans="1:15">
      <c r="A59" s="266"/>
      <c r="B59" s="266"/>
      <c r="C59" s="266"/>
      <c r="D59" s="266"/>
      <c r="E59" s="266"/>
      <c r="F59" s="266"/>
      <c r="G59" s="266"/>
      <c r="H59" s="318"/>
    </row>
    <row r="60" spans="1:15">
      <c r="A60" s="266"/>
      <c r="C60" s="266"/>
      <c r="D60" s="266"/>
      <c r="E60" s="266"/>
      <c r="F60" s="266"/>
      <c r="G60" s="266"/>
      <c r="H60" s="340"/>
      <c r="I60" s="341"/>
      <c r="J60" s="340"/>
      <c r="K60" s="340"/>
      <c r="L60" s="340"/>
      <c r="M60" s="340"/>
      <c r="N60" s="341"/>
      <c r="O60" s="340"/>
    </row>
    <row r="61" spans="1:15">
      <c r="C61" s="266"/>
      <c r="D61" s="266"/>
      <c r="E61" s="266"/>
      <c r="H61" s="342"/>
      <c r="I61" s="340"/>
      <c r="J61" s="703"/>
      <c r="K61" s="704"/>
      <c r="L61" s="704"/>
      <c r="M61" s="704"/>
      <c r="N61" s="340"/>
      <c r="O61" s="342"/>
    </row>
    <row r="62" spans="1:15">
      <c r="B62" s="266"/>
      <c r="C62" s="266"/>
      <c r="D62" s="266"/>
      <c r="H62" s="340"/>
      <c r="I62" s="340"/>
      <c r="J62" s="340"/>
      <c r="K62" s="340"/>
      <c r="L62" s="340"/>
      <c r="M62" s="340"/>
      <c r="N62" s="340"/>
      <c r="O62" s="340"/>
    </row>
    <row r="63" spans="1:15">
      <c r="B63" s="266"/>
      <c r="C63" s="266"/>
      <c r="D63" s="266"/>
      <c r="H63" s="340"/>
      <c r="I63" s="340"/>
      <c r="J63" s="340"/>
      <c r="K63" s="340"/>
      <c r="L63" s="340"/>
      <c r="M63" s="340"/>
      <c r="N63" s="340"/>
      <c r="O63" s="340"/>
    </row>
    <row r="64" spans="1:15">
      <c r="H64" s="340"/>
      <c r="I64" s="340"/>
      <c r="J64" s="340"/>
      <c r="K64" s="340"/>
      <c r="L64" s="340"/>
      <c r="M64" s="340"/>
      <c r="N64" s="340"/>
      <c r="O64" s="340"/>
    </row>
    <row r="65" spans="2:46">
      <c r="H65" s="340"/>
      <c r="I65" s="340"/>
      <c r="J65" s="340"/>
      <c r="K65" s="340"/>
      <c r="L65" s="340"/>
      <c r="M65" s="340"/>
      <c r="N65" s="340"/>
      <c r="O65" s="340"/>
    </row>
    <row r="66" spans="2:46">
      <c r="B66" s="376"/>
      <c r="C66" s="340"/>
      <c r="D66" s="340"/>
      <c r="E66" s="340"/>
      <c r="F66" s="340"/>
      <c r="G66" s="340"/>
      <c r="H66" s="340"/>
      <c r="I66" s="340"/>
      <c r="J66" s="340"/>
      <c r="K66" s="340"/>
      <c r="L66" s="340"/>
      <c r="M66" s="340"/>
      <c r="N66" s="340"/>
      <c r="O66" s="340"/>
      <c r="P66" s="340"/>
      <c r="Q66" s="340"/>
      <c r="R66" s="340"/>
      <c r="S66" s="340"/>
      <c r="T66" s="340"/>
      <c r="U66" s="340"/>
      <c r="V66" s="340"/>
      <c r="W66" s="340"/>
      <c r="X66" s="340"/>
      <c r="Y66" s="340"/>
      <c r="Z66" s="340"/>
      <c r="AA66" s="340"/>
      <c r="AB66" s="340"/>
      <c r="AC66" s="340"/>
      <c r="AD66" s="340"/>
      <c r="AE66" s="340"/>
      <c r="AF66" s="340"/>
      <c r="AG66" s="340"/>
      <c r="AH66" s="340"/>
      <c r="AI66" s="340"/>
      <c r="AJ66" s="340"/>
      <c r="AK66" s="340"/>
      <c r="AL66" s="340"/>
      <c r="AM66" s="340"/>
      <c r="AN66" s="340"/>
      <c r="AO66" s="340"/>
      <c r="AP66" s="340"/>
      <c r="AQ66" s="340"/>
      <c r="AR66" s="340"/>
      <c r="AS66" s="340"/>
      <c r="AT66" s="340"/>
    </row>
    <row r="67" spans="2:46">
      <c r="B67" s="376"/>
      <c r="C67" s="376"/>
      <c r="D67" s="340"/>
      <c r="E67" s="376"/>
      <c r="F67" s="340"/>
      <c r="G67" s="340"/>
      <c r="H67" s="340"/>
      <c r="I67" s="340"/>
      <c r="J67" s="340"/>
      <c r="K67" s="340"/>
      <c r="L67" s="340"/>
      <c r="M67" s="340"/>
      <c r="N67" s="340"/>
      <c r="O67" s="340"/>
      <c r="P67" s="340"/>
      <c r="Q67" s="340"/>
      <c r="R67" s="340"/>
      <c r="S67" s="340"/>
      <c r="T67" s="340"/>
      <c r="U67" s="340"/>
      <c r="V67" s="340"/>
      <c r="W67" s="340"/>
      <c r="X67" s="340"/>
      <c r="Y67" s="340"/>
      <c r="Z67" s="340"/>
      <c r="AA67" s="340"/>
      <c r="AB67" s="340"/>
      <c r="AC67" s="340"/>
      <c r="AD67" s="340"/>
      <c r="AE67" s="340"/>
      <c r="AF67" s="340"/>
      <c r="AG67" s="340"/>
      <c r="AH67" s="340"/>
      <c r="AI67" s="340"/>
      <c r="AJ67" s="340"/>
      <c r="AK67" s="340"/>
      <c r="AL67" s="340"/>
      <c r="AM67" s="340"/>
      <c r="AN67" s="340"/>
      <c r="AO67" s="340"/>
      <c r="AP67" s="340"/>
      <c r="AQ67" s="340"/>
      <c r="AR67" s="340"/>
      <c r="AS67" s="340"/>
      <c r="AT67" s="340"/>
    </row>
    <row r="68" spans="2:46">
      <c r="B68" s="340"/>
      <c r="C68" s="340"/>
      <c r="D68" s="340"/>
      <c r="E68" s="340"/>
      <c r="F68" s="340"/>
      <c r="G68" s="340"/>
      <c r="H68" s="340"/>
      <c r="I68" s="340"/>
      <c r="J68" s="340"/>
      <c r="K68" s="340"/>
      <c r="L68" s="340"/>
      <c r="M68" s="340"/>
      <c r="N68" s="340"/>
      <c r="O68" s="340"/>
      <c r="P68" s="340"/>
      <c r="Q68" s="340"/>
      <c r="R68" s="340"/>
      <c r="S68" s="340"/>
      <c r="T68" s="340"/>
      <c r="U68" s="340"/>
      <c r="V68" s="340"/>
      <c r="W68" s="340"/>
      <c r="X68" s="340"/>
      <c r="Y68" s="340"/>
      <c r="Z68" s="340"/>
      <c r="AA68" s="340"/>
      <c r="AB68" s="340"/>
      <c r="AC68" s="340"/>
      <c r="AD68" s="340"/>
      <c r="AE68" s="340"/>
      <c r="AF68" s="340"/>
      <c r="AG68" s="340"/>
      <c r="AH68" s="340"/>
      <c r="AI68" s="340"/>
      <c r="AJ68" s="340"/>
      <c r="AK68" s="340"/>
      <c r="AL68" s="340"/>
      <c r="AM68" s="340"/>
      <c r="AN68" s="340"/>
      <c r="AO68" s="340"/>
      <c r="AP68" s="340"/>
      <c r="AQ68" s="340"/>
      <c r="AR68" s="340"/>
      <c r="AS68" s="340"/>
      <c r="AT68" s="340"/>
    </row>
    <row r="69" spans="2:46">
      <c r="B69" s="376"/>
      <c r="C69" s="340"/>
      <c r="D69" s="340"/>
      <c r="E69" s="340"/>
      <c r="F69" s="340"/>
      <c r="G69" s="340"/>
      <c r="H69" s="340"/>
      <c r="I69" s="340"/>
      <c r="J69" s="340"/>
      <c r="K69" s="340"/>
      <c r="L69" s="340"/>
      <c r="M69" s="340"/>
      <c r="N69" s="340"/>
      <c r="O69" s="340"/>
      <c r="P69" s="340"/>
      <c r="Q69" s="340"/>
      <c r="R69" s="340"/>
      <c r="S69" s="340"/>
      <c r="T69" s="340"/>
      <c r="U69" s="340"/>
      <c r="V69" s="340"/>
      <c r="W69" s="340"/>
      <c r="X69" s="340"/>
      <c r="Y69" s="340"/>
      <c r="Z69" s="340"/>
      <c r="AA69" s="340"/>
      <c r="AB69" s="340"/>
      <c r="AC69" s="340"/>
      <c r="AD69" s="340"/>
      <c r="AE69" s="340"/>
      <c r="AF69" s="340"/>
      <c r="AG69" s="340"/>
      <c r="AH69" s="340"/>
      <c r="AI69" s="340"/>
      <c r="AJ69" s="340"/>
      <c r="AK69" s="340"/>
      <c r="AL69" s="340"/>
      <c r="AM69" s="340"/>
      <c r="AN69" s="340"/>
      <c r="AO69" s="340"/>
      <c r="AP69" s="340"/>
      <c r="AQ69" s="340"/>
      <c r="AR69" s="340"/>
      <c r="AS69" s="340"/>
      <c r="AT69" s="340"/>
    </row>
    <row r="70" spans="2:46">
      <c r="B70" s="376"/>
      <c r="C70" s="340"/>
      <c r="D70" s="340"/>
      <c r="E70" s="340"/>
      <c r="F70" s="340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0"/>
      <c r="R70" s="340"/>
      <c r="S70" s="340"/>
      <c r="T70" s="340"/>
      <c r="U70" s="340"/>
      <c r="V70" s="340"/>
      <c r="W70" s="340"/>
      <c r="X70" s="340"/>
      <c r="Y70" s="340"/>
      <c r="Z70" s="340"/>
      <c r="AA70" s="340"/>
      <c r="AB70" s="340"/>
      <c r="AC70" s="340"/>
      <c r="AD70" s="340"/>
      <c r="AE70" s="340"/>
      <c r="AF70" s="340"/>
      <c r="AG70" s="340"/>
      <c r="AH70" s="340"/>
      <c r="AI70" s="340"/>
      <c r="AJ70" s="340"/>
      <c r="AK70" s="340"/>
      <c r="AL70" s="340"/>
      <c r="AM70" s="340"/>
      <c r="AN70" s="340"/>
      <c r="AO70" s="340"/>
      <c r="AP70" s="340"/>
      <c r="AQ70" s="340"/>
      <c r="AR70" s="340"/>
      <c r="AS70" s="340"/>
      <c r="AT70" s="340"/>
    </row>
    <row r="71" spans="2:46">
      <c r="B71" s="376"/>
      <c r="C71" s="376"/>
      <c r="D71" s="340"/>
      <c r="E71" s="340"/>
      <c r="F71" s="340"/>
      <c r="G71" s="340"/>
      <c r="H71" s="340"/>
      <c r="I71" s="340"/>
      <c r="J71" s="340"/>
      <c r="K71" s="340"/>
      <c r="L71" s="340"/>
      <c r="M71" s="340"/>
      <c r="N71" s="340"/>
      <c r="O71" s="340"/>
      <c r="P71" s="340"/>
      <c r="Q71" s="340"/>
      <c r="R71" s="340"/>
      <c r="S71" s="340"/>
      <c r="T71" s="340"/>
      <c r="U71" s="340"/>
      <c r="V71" s="340"/>
      <c r="W71" s="340"/>
      <c r="X71" s="340"/>
      <c r="Y71" s="340"/>
      <c r="Z71" s="340"/>
      <c r="AA71" s="340"/>
      <c r="AB71" s="340"/>
      <c r="AC71" s="340"/>
      <c r="AD71" s="340"/>
      <c r="AE71" s="340"/>
      <c r="AF71" s="340"/>
      <c r="AG71" s="340"/>
      <c r="AH71" s="340"/>
      <c r="AI71" s="340"/>
      <c r="AJ71" s="340"/>
      <c r="AK71" s="340"/>
      <c r="AL71" s="340"/>
      <c r="AM71" s="340"/>
      <c r="AN71" s="340"/>
      <c r="AO71" s="340"/>
      <c r="AP71" s="340"/>
      <c r="AQ71" s="340"/>
      <c r="AR71" s="340"/>
      <c r="AS71" s="340"/>
      <c r="AT71" s="340"/>
    </row>
    <row r="72" spans="2:46">
      <c r="B72" s="376"/>
      <c r="C72" s="340"/>
      <c r="D72" s="340"/>
      <c r="E72" s="340"/>
      <c r="F72" s="340"/>
      <c r="G72" s="340"/>
      <c r="H72" s="340"/>
      <c r="I72" s="340"/>
      <c r="J72" s="340"/>
      <c r="K72" s="340"/>
      <c r="L72" s="340"/>
      <c r="M72" s="340"/>
      <c r="N72" s="340"/>
      <c r="O72" s="340"/>
      <c r="P72" s="340"/>
      <c r="Q72" s="340"/>
      <c r="R72" s="340"/>
      <c r="S72" s="340"/>
      <c r="T72" s="340"/>
      <c r="U72" s="340"/>
      <c r="V72" s="340"/>
      <c r="W72" s="340"/>
      <c r="X72" s="340"/>
      <c r="Y72" s="340"/>
      <c r="Z72" s="340"/>
      <c r="AA72" s="340"/>
      <c r="AB72" s="340"/>
      <c r="AC72" s="340"/>
      <c r="AD72" s="340"/>
      <c r="AE72" s="340"/>
      <c r="AF72" s="340"/>
      <c r="AG72" s="340"/>
      <c r="AH72" s="340"/>
      <c r="AI72" s="340"/>
      <c r="AJ72" s="340"/>
      <c r="AK72" s="340"/>
      <c r="AL72" s="340"/>
      <c r="AM72" s="340"/>
      <c r="AN72" s="340"/>
      <c r="AO72" s="340"/>
      <c r="AP72" s="340"/>
      <c r="AQ72" s="340"/>
      <c r="AR72" s="340"/>
      <c r="AS72" s="340"/>
      <c r="AT72" s="340"/>
    </row>
    <row r="73" spans="2:46">
      <c r="B73" s="376"/>
      <c r="C73" s="376"/>
      <c r="D73" s="340"/>
      <c r="E73" s="340"/>
      <c r="F73" s="340"/>
      <c r="G73" s="340"/>
      <c r="H73" s="340"/>
      <c r="I73" s="340"/>
      <c r="J73" s="340"/>
      <c r="K73" s="340"/>
      <c r="L73" s="340"/>
      <c r="M73" s="340"/>
      <c r="N73" s="340"/>
      <c r="O73" s="340"/>
      <c r="P73" s="340"/>
      <c r="Q73" s="340"/>
      <c r="R73" s="340"/>
      <c r="S73" s="340"/>
      <c r="T73" s="340"/>
      <c r="U73" s="340"/>
      <c r="V73" s="340"/>
      <c r="W73" s="340"/>
      <c r="X73" s="340"/>
      <c r="Y73" s="340"/>
      <c r="Z73" s="340"/>
      <c r="AA73" s="340"/>
      <c r="AB73" s="340"/>
      <c r="AC73" s="340"/>
      <c r="AD73" s="340"/>
      <c r="AE73" s="340"/>
      <c r="AF73" s="340"/>
      <c r="AG73" s="340"/>
      <c r="AH73" s="340"/>
      <c r="AI73" s="340"/>
      <c r="AJ73" s="340"/>
      <c r="AK73" s="340"/>
      <c r="AL73" s="340"/>
      <c r="AM73" s="340"/>
      <c r="AN73" s="340"/>
      <c r="AO73" s="340"/>
      <c r="AP73" s="340"/>
      <c r="AQ73" s="340"/>
      <c r="AR73" s="340"/>
      <c r="AS73" s="340"/>
      <c r="AT73" s="340"/>
    </row>
    <row r="74" spans="2:46">
      <c r="B74" s="376"/>
      <c r="C74" s="376"/>
      <c r="D74" s="340"/>
      <c r="E74" s="340"/>
      <c r="F74" s="340"/>
      <c r="G74" s="340"/>
      <c r="H74" s="340"/>
      <c r="I74" s="340"/>
      <c r="J74" s="340"/>
      <c r="K74" s="340"/>
      <c r="L74" s="340"/>
      <c r="M74" s="340"/>
      <c r="N74" s="340"/>
      <c r="O74" s="340"/>
      <c r="P74" s="340"/>
      <c r="Q74" s="340"/>
      <c r="R74" s="340"/>
      <c r="S74" s="340"/>
      <c r="T74" s="340"/>
      <c r="U74" s="340"/>
      <c r="V74" s="340"/>
      <c r="W74" s="340"/>
      <c r="X74" s="340"/>
      <c r="Y74" s="340"/>
      <c r="Z74" s="340"/>
      <c r="AA74" s="340"/>
      <c r="AB74" s="340"/>
      <c r="AC74" s="340"/>
      <c r="AD74" s="340"/>
      <c r="AE74" s="340"/>
      <c r="AF74" s="340"/>
      <c r="AG74" s="340"/>
      <c r="AH74" s="340"/>
      <c r="AI74" s="340"/>
      <c r="AJ74" s="340"/>
      <c r="AK74" s="340"/>
      <c r="AL74" s="340"/>
      <c r="AM74" s="340"/>
      <c r="AN74" s="340"/>
      <c r="AO74" s="340"/>
      <c r="AP74" s="340"/>
      <c r="AQ74" s="340"/>
      <c r="AR74" s="340"/>
      <c r="AS74" s="340"/>
      <c r="AT74" s="340"/>
    </row>
    <row r="75" spans="2:46">
      <c r="B75" s="376"/>
      <c r="C75" s="376"/>
      <c r="D75" s="340"/>
      <c r="E75" s="340"/>
      <c r="F75" s="340"/>
      <c r="G75" s="340"/>
      <c r="H75" s="340"/>
      <c r="I75" s="340"/>
      <c r="J75" s="340"/>
      <c r="K75" s="340"/>
      <c r="L75" s="340"/>
      <c r="M75" s="340"/>
      <c r="N75" s="340"/>
      <c r="O75" s="340"/>
      <c r="P75" s="340"/>
      <c r="Q75" s="340"/>
      <c r="R75" s="340"/>
      <c r="S75" s="340"/>
      <c r="T75" s="340"/>
      <c r="U75" s="340"/>
      <c r="V75" s="340"/>
      <c r="W75" s="340"/>
      <c r="X75" s="340"/>
      <c r="Y75" s="340"/>
      <c r="Z75" s="340"/>
      <c r="AA75" s="340"/>
      <c r="AB75" s="340"/>
      <c r="AC75" s="340"/>
      <c r="AD75" s="340"/>
      <c r="AE75" s="340"/>
      <c r="AF75" s="340"/>
      <c r="AG75" s="340"/>
      <c r="AH75" s="340"/>
      <c r="AI75" s="340"/>
      <c r="AJ75" s="340"/>
      <c r="AK75" s="340"/>
      <c r="AL75" s="340"/>
      <c r="AM75" s="340"/>
      <c r="AN75" s="340"/>
      <c r="AO75" s="340"/>
      <c r="AP75" s="340"/>
      <c r="AQ75" s="340"/>
      <c r="AR75" s="340"/>
      <c r="AS75" s="340"/>
      <c r="AT75" s="340"/>
    </row>
    <row r="76" spans="2:46">
      <c r="B76" s="376"/>
      <c r="C76" s="376"/>
      <c r="D76" s="340"/>
      <c r="E76" s="340"/>
      <c r="F76" s="340"/>
      <c r="G76" s="340"/>
      <c r="H76" s="340"/>
      <c r="I76" s="340"/>
      <c r="J76" s="340"/>
      <c r="K76" s="340"/>
      <c r="L76" s="340"/>
      <c r="M76" s="340"/>
      <c r="N76" s="340"/>
      <c r="O76" s="340"/>
      <c r="P76" s="340"/>
      <c r="Q76" s="340"/>
      <c r="R76" s="340"/>
      <c r="S76" s="340"/>
      <c r="T76" s="340"/>
      <c r="U76" s="340"/>
      <c r="V76" s="340"/>
      <c r="W76" s="340"/>
      <c r="X76" s="340"/>
      <c r="Y76" s="340"/>
      <c r="Z76" s="340"/>
      <c r="AA76" s="340"/>
      <c r="AB76" s="340"/>
      <c r="AC76" s="340"/>
      <c r="AD76" s="340"/>
      <c r="AE76" s="340"/>
      <c r="AF76" s="340"/>
      <c r="AG76" s="340"/>
      <c r="AH76" s="340"/>
      <c r="AI76" s="340"/>
      <c r="AJ76" s="340"/>
      <c r="AK76" s="340"/>
      <c r="AL76" s="340"/>
      <c r="AM76" s="340"/>
      <c r="AN76" s="340"/>
      <c r="AO76" s="340"/>
      <c r="AP76" s="340"/>
      <c r="AQ76" s="340"/>
      <c r="AR76" s="340"/>
      <c r="AS76" s="340"/>
      <c r="AT76" s="340"/>
    </row>
    <row r="77" spans="2:46">
      <c r="B77" s="376"/>
      <c r="C77" s="376"/>
      <c r="D77" s="340"/>
      <c r="E77" s="340"/>
      <c r="F77" s="340"/>
      <c r="G77" s="340"/>
      <c r="H77" s="340"/>
      <c r="I77" s="340"/>
      <c r="J77" s="340"/>
      <c r="K77" s="340"/>
      <c r="L77" s="340"/>
      <c r="M77" s="340"/>
      <c r="N77" s="340"/>
      <c r="O77" s="340"/>
      <c r="P77" s="340"/>
      <c r="Q77" s="340"/>
      <c r="R77" s="340"/>
      <c r="S77" s="340"/>
      <c r="T77" s="340"/>
      <c r="U77" s="340"/>
      <c r="V77" s="340"/>
      <c r="W77" s="340"/>
      <c r="X77" s="340"/>
      <c r="Y77" s="340"/>
      <c r="Z77" s="340"/>
      <c r="AA77" s="340"/>
      <c r="AB77" s="340"/>
      <c r="AC77" s="340"/>
      <c r="AD77" s="340"/>
      <c r="AE77" s="340"/>
      <c r="AF77" s="340"/>
      <c r="AG77" s="340"/>
      <c r="AH77" s="340"/>
      <c r="AI77" s="340"/>
      <c r="AJ77" s="340"/>
      <c r="AK77" s="340"/>
      <c r="AL77" s="340"/>
      <c r="AM77" s="340"/>
      <c r="AN77" s="340"/>
      <c r="AO77" s="340"/>
      <c r="AP77" s="340"/>
      <c r="AQ77" s="340"/>
      <c r="AR77" s="340"/>
      <c r="AS77" s="340"/>
      <c r="AT77" s="340"/>
    </row>
    <row r="78" spans="2:46">
      <c r="B78" s="340"/>
      <c r="C78" s="376"/>
      <c r="D78" s="340"/>
      <c r="E78" s="340"/>
      <c r="F78" s="340"/>
      <c r="G78" s="340"/>
      <c r="H78" s="340"/>
      <c r="I78" s="340"/>
      <c r="J78" s="340"/>
      <c r="K78" s="340"/>
      <c r="L78" s="340"/>
      <c r="M78" s="340"/>
      <c r="N78" s="340"/>
      <c r="O78" s="340"/>
      <c r="P78" s="340"/>
      <c r="Q78" s="340"/>
      <c r="R78" s="340"/>
      <c r="S78" s="340"/>
      <c r="T78" s="340"/>
      <c r="U78" s="340"/>
      <c r="V78" s="340"/>
      <c r="W78" s="340"/>
      <c r="X78" s="340"/>
      <c r="Y78" s="340"/>
      <c r="Z78" s="340"/>
      <c r="AA78" s="340"/>
      <c r="AB78" s="340"/>
      <c r="AC78" s="340"/>
      <c r="AD78" s="340"/>
      <c r="AE78" s="340"/>
      <c r="AF78" s="340"/>
      <c r="AG78" s="340"/>
      <c r="AH78" s="340"/>
      <c r="AI78" s="340"/>
      <c r="AJ78" s="340"/>
      <c r="AK78" s="340"/>
      <c r="AL78" s="340"/>
      <c r="AM78" s="340"/>
      <c r="AN78" s="340"/>
      <c r="AO78" s="340"/>
      <c r="AP78" s="340"/>
      <c r="AQ78" s="340"/>
      <c r="AR78" s="340"/>
      <c r="AS78" s="340"/>
      <c r="AT78" s="340"/>
    </row>
    <row r="79" spans="2:46">
      <c r="B79" s="340"/>
      <c r="C79" s="340"/>
      <c r="D79" s="340"/>
      <c r="E79" s="340"/>
      <c r="F79" s="340"/>
      <c r="G79" s="340"/>
      <c r="H79" s="340"/>
      <c r="I79" s="340"/>
      <c r="J79" s="340"/>
      <c r="K79" s="340"/>
      <c r="L79" s="340"/>
      <c r="M79" s="340"/>
      <c r="N79" s="340"/>
      <c r="O79" s="340"/>
      <c r="P79" s="340"/>
      <c r="Q79" s="340"/>
      <c r="R79" s="340"/>
      <c r="S79" s="340"/>
      <c r="T79" s="340"/>
      <c r="U79" s="340"/>
      <c r="V79" s="340"/>
      <c r="W79" s="340"/>
      <c r="X79" s="340"/>
      <c r="Y79" s="340"/>
      <c r="Z79" s="340"/>
      <c r="AA79" s="340"/>
      <c r="AB79" s="340"/>
      <c r="AC79" s="340"/>
      <c r="AD79" s="340"/>
      <c r="AE79" s="340"/>
      <c r="AF79" s="340"/>
      <c r="AG79" s="340"/>
      <c r="AH79" s="340"/>
      <c r="AI79" s="340"/>
      <c r="AJ79" s="340"/>
      <c r="AK79" s="340"/>
      <c r="AL79" s="340"/>
      <c r="AM79" s="340"/>
      <c r="AN79" s="340"/>
      <c r="AO79" s="340"/>
      <c r="AP79" s="340"/>
      <c r="AQ79" s="340"/>
      <c r="AR79" s="340"/>
      <c r="AS79" s="340"/>
      <c r="AT79" s="340"/>
    </row>
    <row r="80" spans="2:46">
      <c r="B80" s="340"/>
      <c r="C80" s="340"/>
      <c r="D80" s="340"/>
      <c r="E80" s="340"/>
      <c r="F80" s="340"/>
      <c r="G80" s="340"/>
      <c r="H80" s="340"/>
      <c r="I80" s="340"/>
      <c r="J80" s="340"/>
      <c r="K80" s="340"/>
      <c r="L80" s="340"/>
      <c r="M80" s="340"/>
      <c r="N80" s="340"/>
      <c r="O80" s="340"/>
      <c r="P80" s="340"/>
      <c r="Q80" s="340"/>
      <c r="R80" s="340"/>
      <c r="S80" s="340"/>
      <c r="T80" s="340"/>
      <c r="U80" s="340"/>
      <c r="V80" s="340"/>
      <c r="W80" s="340"/>
      <c r="X80" s="340"/>
      <c r="Y80" s="340"/>
      <c r="Z80" s="340"/>
      <c r="AA80" s="340"/>
      <c r="AB80" s="340"/>
      <c r="AC80" s="340"/>
      <c r="AD80" s="340"/>
      <c r="AE80" s="340"/>
      <c r="AF80" s="340"/>
      <c r="AG80" s="340"/>
      <c r="AH80" s="340"/>
      <c r="AI80" s="340"/>
      <c r="AJ80" s="340"/>
      <c r="AK80" s="340"/>
      <c r="AL80" s="340"/>
      <c r="AM80" s="340"/>
      <c r="AN80" s="340"/>
      <c r="AO80" s="340"/>
      <c r="AP80" s="340"/>
      <c r="AQ80" s="340"/>
      <c r="AR80" s="340"/>
      <c r="AS80" s="340"/>
      <c r="AT80" s="340"/>
    </row>
    <row r="81" spans="2:46">
      <c r="B81" s="340"/>
      <c r="C81" s="340"/>
      <c r="D81" s="340"/>
      <c r="E81" s="340"/>
      <c r="F81" s="340"/>
      <c r="G81" s="340"/>
      <c r="H81" s="340"/>
      <c r="I81" s="340"/>
      <c r="J81" s="340"/>
      <c r="K81" s="340"/>
      <c r="L81" s="340"/>
      <c r="M81" s="340"/>
      <c r="N81" s="340"/>
      <c r="O81" s="340"/>
      <c r="P81" s="340"/>
      <c r="Q81" s="340"/>
      <c r="R81" s="340"/>
      <c r="S81" s="340"/>
      <c r="T81" s="340"/>
      <c r="U81" s="340"/>
      <c r="V81" s="340"/>
      <c r="W81" s="340"/>
      <c r="X81" s="340"/>
      <c r="Y81" s="340"/>
      <c r="Z81" s="340"/>
      <c r="AA81" s="340"/>
      <c r="AB81" s="340"/>
      <c r="AC81" s="340"/>
      <c r="AD81" s="340"/>
      <c r="AE81" s="340"/>
      <c r="AF81" s="340"/>
      <c r="AG81" s="340"/>
      <c r="AH81" s="340"/>
      <c r="AI81" s="340"/>
      <c r="AJ81" s="340"/>
      <c r="AK81" s="340"/>
      <c r="AL81" s="340"/>
      <c r="AM81" s="340"/>
      <c r="AN81" s="340"/>
      <c r="AO81" s="340"/>
      <c r="AP81" s="340"/>
      <c r="AQ81" s="340"/>
      <c r="AR81" s="340"/>
      <c r="AS81" s="340"/>
      <c r="AT81" s="340"/>
    </row>
    <row r="82" spans="2:46">
      <c r="B82" s="340"/>
      <c r="C82" s="340"/>
      <c r="D82" s="340"/>
      <c r="E82" s="340"/>
      <c r="F82" s="340"/>
      <c r="G82" s="340"/>
      <c r="H82" s="340"/>
      <c r="I82" s="340"/>
      <c r="J82" s="340"/>
      <c r="K82" s="340"/>
      <c r="L82" s="340"/>
      <c r="M82" s="340"/>
      <c r="N82" s="340"/>
      <c r="O82" s="340"/>
      <c r="P82" s="340"/>
      <c r="Q82" s="340"/>
      <c r="R82" s="340"/>
      <c r="S82" s="340"/>
      <c r="T82" s="340"/>
      <c r="U82" s="340"/>
      <c r="V82" s="340"/>
      <c r="W82" s="340"/>
      <c r="X82" s="340"/>
      <c r="Y82" s="340"/>
      <c r="Z82" s="340"/>
      <c r="AA82" s="340"/>
      <c r="AB82" s="340"/>
      <c r="AC82" s="340"/>
      <c r="AD82" s="340"/>
      <c r="AE82" s="340"/>
      <c r="AF82" s="340"/>
      <c r="AG82" s="340"/>
      <c r="AH82" s="340"/>
      <c r="AI82" s="340"/>
      <c r="AJ82" s="340"/>
      <c r="AK82" s="340"/>
      <c r="AL82" s="340"/>
      <c r="AM82" s="340"/>
      <c r="AN82" s="340"/>
      <c r="AO82" s="340"/>
      <c r="AP82" s="340"/>
      <c r="AQ82" s="340"/>
      <c r="AR82" s="340"/>
      <c r="AS82" s="340"/>
      <c r="AT82" s="340"/>
    </row>
    <row r="83" spans="2:46">
      <c r="B83" s="377"/>
      <c r="C83" s="340"/>
      <c r="D83" s="340"/>
      <c r="E83" s="340"/>
      <c r="F83" s="340"/>
      <c r="G83" s="340"/>
      <c r="H83" s="340"/>
      <c r="I83" s="340"/>
      <c r="J83" s="340"/>
      <c r="K83" s="340"/>
      <c r="L83" s="340"/>
      <c r="M83" s="340"/>
      <c r="N83" s="340"/>
      <c r="O83" s="340"/>
      <c r="P83" s="340"/>
      <c r="Q83" s="340"/>
      <c r="R83" s="340"/>
      <c r="S83" s="340"/>
      <c r="T83" s="340"/>
      <c r="U83" s="340"/>
      <c r="V83" s="340"/>
      <c r="W83" s="340"/>
      <c r="X83" s="340"/>
      <c r="Y83" s="340"/>
      <c r="Z83" s="340"/>
      <c r="AA83" s="340"/>
      <c r="AB83" s="340"/>
      <c r="AC83" s="340"/>
      <c r="AD83" s="340"/>
      <c r="AE83" s="340"/>
      <c r="AF83" s="340"/>
      <c r="AG83" s="340"/>
      <c r="AH83" s="340"/>
      <c r="AI83" s="340"/>
      <c r="AJ83" s="340"/>
      <c r="AK83" s="340"/>
      <c r="AL83" s="340"/>
      <c r="AM83" s="340"/>
      <c r="AN83" s="340"/>
      <c r="AO83" s="340"/>
      <c r="AP83" s="340"/>
      <c r="AQ83" s="340"/>
      <c r="AR83" s="340"/>
      <c r="AS83" s="340"/>
      <c r="AT83" s="340"/>
    </row>
    <row r="84" spans="2:46">
      <c r="B84" s="340"/>
      <c r="C84" s="378"/>
      <c r="D84" s="378"/>
      <c r="E84" s="378"/>
      <c r="F84" s="378"/>
      <c r="G84" s="378"/>
      <c r="H84" s="378"/>
      <c r="I84" s="340"/>
      <c r="J84" s="340"/>
      <c r="K84" s="340"/>
      <c r="L84" s="340"/>
      <c r="M84" s="340"/>
      <c r="N84" s="340"/>
      <c r="O84" s="340"/>
      <c r="P84" s="340"/>
      <c r="Q84" s="340"/>
      <c r="R84" s="340"/>
      <c r="S84" s="340"/>
      <c r="T84" s="340"/>
      <c r="U84" s="340"/>
      <c r="V84" s="340"/>
      <c r="W84" s="340"/>
      <c r="X84" s="340"/>
      <c r="Y84" s="340"/>
      <c r="Z84" s="340"/>
      <c r="AA84" s="340"/>
      <c r="AB84" s="340"/>
      <c r="AC84" s="340"/>
      <c r="AD84" s="340"/>
      <c r="AE84" s="340"/>
      <c r="AF84" s="340"/>
      <c r="AG84" s="340"/>
      <c r="AH84" s="340"/>
      <c r="AI84" s="340"/>
      <c r="AJ84" s="340"/>
      <c r="AK84" s="340"/>
      <c r="AL84" s="340"/>
      <c r="AM84" s="340"/>
      <c r="AN84" s="340"/>
      <c r="AO84" s="340"/>
      <c r="AP84" s="340"/>
      <c r="AQ84" s="340"/>
      <c r="AR84" s="340"/>
      <c r="AS84" s="340"/>
      <c r="AT84" s="340"/>
    </row>
    <row r="85" spans="2:46">
      <c r="B85" s="379"/>
      <c r="C85" s="375"/>
      <c r="D85" s="375"/>
      <c r="E85" s="375"/>
      <c r="F85" s="375"/>
      <c r="G85" s="375"/>
      <c r="H85" s="375"/>
      <c r="I85" s="340"/>
      <c r="J85" s="340"/>
      <c r="K85" s="340"/>
      <c r="L85" s="340"/>
      <c r="M85" s="340"/>
      <c r="N85" s="340"/>
      <c r="O85" s="340"/>
      <c r="P85" s="340"/>
      <c r="Q85" s="340"/>
      <c r="R85" s="340"/>
      <c r="S85" s="340"/>
      <c r="T85" s="340"/>
      <c r="U85" s="340"/>
      <c r="V85" s="340"/>
      <c r="W85" s="340"/>
      <c r="X85" s="340"/>
      <c r="Y85" s="340"/>
      <c r="Z85" s="340"/>
      <c r="AA85" s="340"/>
      <c r="AB85" s="340"/>
      <c r="AC85" s="340"/>
      <c r="AD85" s="340"/>
      <c r="AE85" s="340"/>
      <c r="AF85" s="340"/>
      <c r="AG85" s="340"/>
      <c r="AH85" s="340"/>
      <c r="AI85" s="340"/>
      <c r="AJ85" s="340"/>
      <c r="AK85" s="340"/>
      <c r="AL85" s="340"/>
      <c r="AM85" s="340"/>
      <c r="AN85" s="340"/>
      <c r="AO85" s="340"/>
      <c r="AP85" s="340"/>
      <c r="AQ85" s="340"/>
      <c r="AR85" s="340"/>
      <c r="AS85" s="340"/>
      <c r="AT85" s="340"/>
    </row>
    <row r="86" spans="2:46">
      <c r="B86" s="379"/>
      <c r="C86" s="375"/>
      <c r="D86" s="375"/>
      <c r="E86" s="375"/>
      <c r="F86" s="375"/>
      <c r="G86" s="375"/>
      <c r="H86" s="375"/>
      <c r="I86" s="340"/>
      <c r="J86" s="340"/>
      <c r="K86" s="340"/>
      <c r="L86" s="340"/>
      <c r="M86" s="340"/>
      <c r="N86" s="340"/>
      <c r="O86" s="340"/>
      <c r="P86" s="340"/>
      <c r="Q86" s="340"/>
      <c r="R86" s="340"/>
      <c r="S86" s="340"/>
      <c r="T86" s="340"/>
      <c r="U86" s="340"/>
      <c r="V86" s="340"/>
      <c r="W86" s="340"/>
      <c r="X86" s="340"/>
      <c r="Y86" s="340"/>
      <c r="Z86" s="340"/>
      <c r="AA86" s="340"/>
      <c r="AB86" s="340"/>
      <c r="AC86" s="340"/>
      <c r="AD86" s="340"/>
      <c r="AE86" s="340"/>
      <c r="AF86" s="340"/>
      <c r="AG86" s="340"/>
      <c r="AH86" s="340"/>
      <c r="AI86" s="340"/>
      <c r="AJ86" s="340"/>
      <c r="AK86" s="340"/>
      <c r="AL86" s="340"/>
      <c r="AM86" s="340"/>
      <c r="AN86" s="340"/>
      <c r="AO86" s="340"/>
      <c r="AP86" s="340"/>
      <c r="AQ86" s="340"/>
      <c r="AR86" s="340"/>
      <c r="AS86" s="340"/>
      <c r="AT86" s="340"/>
    </row>
    <row r="87" spans="2:46">
      <c r="B87" s="340"/>
      <c r="C87" s="340"/>
      <c r="D87" s="340"/>
      <c r="E87" s="340"/>
      <c r="F87" s="340"/>
      <c r="G87" s="340"/>
      <c r="H87" s="340"/>
      <c r="I87" s="340"/>
      <c r="J87" s="340"/>
      <c r="K87" s="340"/>
      <c r="L87" s="340"/>
      <c r="M87" s="340"/>
      <c r="N87" s="340"/>
      <c r="O87" s="340"/>
      <c r="P87" s="340"/>
      <c r="Q87" s="340"/>
      <c r="R87" s="340"/>
      <c r="S87" s="340"/>
      <c r="T87" s="340"/>
      <c r="U87" s="340"/>
      <c r="V87" s="340"/>
      <c r="W87" s="340"/>
      <c r="X87" s="340"/>
      <c r="Y87" s="340"/>
      <c r="Z87" s="340"/>
      <c r="AA87" s="340"/>
      <c r="AB87" s="340"/>
      <c r="AC87" s="340"/>
      <c r="AD87" s="340"/>
      <c r="AE87" s="340"/>
      <c r="AF87" s="340"/>
      <c r="AG87" s="340"/>
      <c r="AH87" s="340"/>
      <c r="AI87" s="340"/>
      <c r="AJ87" s="340"/>
      <c r="AK87" s="340"/>
      <c r="AL87" s="340"/>
      <c r="AM87" s="340"/>
      <c r="AN87" s="340"/>
      <c r="AO87" s="340"/>
      <c r="AP87" s="340"/>
      <c r="AQ87" s="340"/>
      <c r="AR87" s="340"/>
      <c r="AS87" s="340"/>
      <c r="AT87" s="340"/>
    </row>
    <row r="88" spans="2:46">
      <c r="B88" s="340"/>
      <c r="C88" s="340"/>
      <c r="D88" s="340"/>
      <c r="E88" s="340"/>
      <c r="F88" s="340"/>
      <c r="G88" s="340"/>
      <c r="H88" s="340"/>
      <c r="I88" s="340"/>
      <c r="J88" s="340"/>
      <c r="K88" s="340"/>
      <c r="L88" s="340"/>
      <c r="M88" s="340"/>
      <c r="N88" s="340"/>
      <c r="O88" s="340"/>
      <c r="P88" s="340"/>
      <c r="Q88" s="340"/>
      <c r="R88" s="340"/>
      <c r="S88" s="340"/>
      <c r="T88" s="340"/>
      <c r="U88" s="340"/>
      <c r="V88" s="340"/>
      <c r="W88" s="340"/>
      <c r="X88" s="340"/>
      <c r="Y88" s="340"/>
      <c r="Z88" s="340"/>
      <c r="AA88" s="340"/>
      <c r="AB88" s="340"/>
      <c r="AC88" s="340"/>
      <c r="AD88" s="340"/>
      <c r="AE88" s="340"/>
      <c r="AF88" s="340"/>
      <c r="AG88" s="340"/>
      <c r="AH88" s="340"/>
      <c r="AI88" s="340"/>
      <c r="AJ88" s="340"/>
      <c r="AK88" s="340"/>
      <c r="AL88" s="340"/>
      <c r="AM88" s="340"/>
      <c r="AN88" s="340"/>
      <c r="AO88" s="340"/>
      <c r="AP88" s="340"/>
      <c r="AQ88" s="340"/>
      <c r="AR88" s="340"/>
      <c r="AS88" s="340"/>
      <c r="AT88" s="340"/>
    </row>
    <row r="89" spans="2:46">
      <c r="B89" s="340"/>
      <c r="C89" s="378"/>
      <c r="D89" s="378"/>
      <c r="E89" s="375"/>
      <c r="F89" s="378"/>
      <c r="G89" s="378"/>
      <c r="H89" s="340"/>
      <c r="I89" s="340"/>
      <c r="J89" s="340"/>
      <c r="K89" s="340"/>
      <c r="L89" s="340"/>
      <c r="M89" s="340"/>
      <c r="N89" s="340"/>
      <c r="O89" s="340"/>
      <c r="P89" s="340"/>
      <c r="Q89" s="340"/>
      <c r="R89" s="340"/>
      <c r="S89" s="340"/>
      <c r="T89" s="340"/>
      <c r="U89" s="340"/>
      <c r="V89" s="340"/>
      <c r="W89" s="340"/>
      <c r="X89" s="340"/>
      <c r="Y89" s="340"/>
      <c r="Z89" s="340"/>
      <c r="AA89" s="340"/>
      <c r="AB89" s="340"/>
      <c r="AC89" s="340"/>
      <c r="AD89" s="340"/>
      <c r="AE89" s="340"/>
      <c r="AF89" s="340"/>
      <c r="AG89" s="340"/>
      <c r="AH89" s="340"/>
      <c r="AI89" s="340"/>
      <c r="AJ89" s="340"/>
      <c r="AK89" s="340"/>
      <c r="AL89" s="340"/>
      <c r="AM89" s="340"/>
      <c r="AN89" s="340"/>
      <c r="AO89" s="340"/>
      <c r="AP89" s="340"/>
      <c r="AQ89" s="340"/>
      <c r="AR89" s="340"/>
      <c r="AS89" s="340"/>
      <c r="AT89" s="340"/>
    </row>
    <row r="90" spans="2:46">
      <c r="B90" s="340"/>
      <c r="C90" s="375"/>
      <c r="D90" s="375"/>
      <c r="E90" s="375"/>
      <c r="F90" s="375"/>
      <c r="G90" s="375"/>
      <c r="H90" s="379"/>
      <c r="I90" s="340"/>
      <c r="J90" s="340"/>
      <c r="K90" s="340"/>
      <c r="L90" s="340"/>
      <c r="M90" s="340"/>
      <c r="N90" s="340"/>
      <c r="O90" s="340"/>
      <c r="P90" s="340"/>
      <c r="Q90" s="340"/>
      <c r="R90" s="340"/>
      <c r="S90" s="340"/>
      <c r="T90" s="340"/>
      <c r="U90" s="340"/>
      <c r="V90" s="340"/>
      <c r="W90" s="340"/>
      <c r="X90" s="340"/>
      <c r="Y90" s="340"/>
      <c r="Z90" s="340"/>
      <c r="AA90" s="340"/>
      <c r="AB90" s="340"/>
      <c r="AC90" s="340"/>
      <c r="AD90" s="340"/>
      <c r="AE90" s="340"/>
      <c r="AF90" s="340"/>
      <c r="AG90" s="340"/>
      <c r="AH90" s="340"/>
      <c r="AI90" s="340"/>
      <c r="AJ90" s="340"/>
      <c r="AK90" s="340"/>
      <c r="AL90" s="340"/>
      <c r="AM90" s="340"/>
      <c r="AN90" s="340"/>
      <c r="AO90" s="340"/>
      <c r="AP90" s="340"/>
      <c r="AQ90" s="340"/>
      <c r="AR90" s="340"/>
      <c r="AS90" s="340"/>
      <c r="AT90" s="340"/>
    </row>
    <row r="91" spans="2:46">
      <c r="B91" s="340"/>
      <c r="C91" s="340"/>
      <c r="D91" s="340"/>
      <c r="E91" s="340"/>
      <c r="F91" s="340"/>
      <c r="G91" s="340"/>
      <c r="H91" s="340"/>
      <c r="I91" s="340"/>
      <c r="J91" s="340"/>
      <c r="K91" s="340"/>
      <c r="L91" s="340"/>
      <c r="M91" s="340"/>
      <c r="N91" s="340"/>
      <c r="O91" s="340"/>
      <c r="P91" s="340"/>
      <c r="Q91" s="340"/>
      <c r="R91" s="340"/>
      <c r="S91" s="340"/>
      <c r="T91" s="340"/>
      <c r="U91" s="340"/>
      <c r="V91" s="340"/>
      <c r="W91" s="340"/>
      <c r="X91" s="340"/>
      <c r="Y91" s="340"/>
      <c r="Z91" s="340"/>
      <c r="AA91" s="340"/>
      <c r="AB91" s="340"/>
      <c r="AC91" s="340"/>
      <c r="AD91" s="340"/>
      <c r="AE91" s="340"/>
      <c r="AF91" s="340"/>
      <c r="AG91" s="340"/>
      <c r="AH91" s="340"/>
      <c r="AI91" s="340"/>
      <c r="AJ91" s="340"/>
      <c r="AK91" s="340"/>
      <c r="AL91" s="340"/>
      <c r="AM91" s="340"/>
      <c r="AN91" s="340"/>
      <c r="AO91" s="340"/>
      <c r="AP91" s="340"/>
      <c r="AQ91" s="340"/>
      <c r="AR91" s="340"/>
      <c r="AS91" s="340"/>
      <c r="AT91" s="340"/>
    </row>
    <row r="92" spans="2:46">
      <c r="B92" s="340"/>
      <c r="C92" s="340"/>
      <c r="D92" s="340"/>
      <c r="E92" s="340"/>
      <c r="F92" s="340"/>
      <c r="G92" s="340"/>
      <c r="H92" s="340"/>
      <c r="I92" s="340"/>
      <c r="J92" s="340"/>
      <c r="K92" s="340"/>
      <c r="L92" s="340"/>
      <c r="M92" s="340"/>
      <c r="N92" s="340"/>
      <c r="O92" s="340"/>
      <c r="P92" s="340"/>
      <c r="Q92" s="340"/>
      <c r="R92" s="340"/>
      <c r="S92" s="340"/>
      <c r="T92" s="340"/>
      <c r="U92" s="340"/>
      <c r="V92" s="340"/>
      <c r="W92" s="340"/>
      <c r="X92" s="340"/>
      <c r="Y92" s="340"/>
      <c r="Z92" s="340"/>
      <c r="AA92" s="340"/>
      <c r="AB92" s="340"/>
      <c r="AC92" s="340"/>
      <c r="AD92" s="340"/>
      <c r="AE92" s="340"/>
      <c r="AF92" s="340"/>
      <c r="AG92" s="340"/>
      <c r="AH92" s="340"/>
      <c r="AI92" s="340"/>
      <c r="AJ92" s="340"/>
      <c r="AK92" s="340"/>
      <c r="AL92" s="340"/>
      <c r="AM92" s="340"/>
      <c r="AN92" s="340"/>
      <c r="AO92" s="340"/>
      <c r="AP92" s="340"/>
      <c r="AQ92" s="340"/>
      <c r="AR92" s="340"/>
      <c r="AS92" s="340"/>
      <c r="AT92" s="340"/>
    </row>
    <row r="93" spans="2:46">
      <c r="B93" s="340"/>
      <c r="C93" s="340"/>
      <c r="D93" s="340"/>
      <c r="E93" s="340"/>
      <c r="F93" s="340"/>
      <c r="G93" s="340"/>
      <c r="H93" s="340"/>
      <c r="I93" s="340"/>
      <c r="J93" s="340"/>
      <c r="K93" s="340"/>
      <c r="L93" s="340"/>
      <c r="M93" s="340"/>
      <c r="N93" s="340"/>
      <c r="O93" s="340"/>
      <c r="P93" s="340"/>
      <c r="Q93" s="340"/>
      <c r="R93" s="340"/>
      <c r="S93" s="340"/>
      <c r="T93" s="340"/>
      <c r="U93" s="340"/>
      <c r="V93" s="340"/>
      <c r="W93" s="340"/>
      <c r="X93" s="340"/>
      <c r="Y93" s="340"/>
      <c r="Z93" s="340"/>
      <c r="AA93" s="340"/>
      <c r="AB93" s="340"/>
      <c r="AC93" s="340"/>
      <c r="AD93" s="340"/>
      <c r="AE93" s="340"/>
      <c r="AF93" s="340"/>
      <c r="AG93" s="340"/>
      <c r="AH93" s="340"/>
      <c r="AI93" s="340"/>
      <c r="AJ93" s="340"/>
      <c r="AK93" s="340"/>
      <c r="AL93" s="340"/>
      <c r="AM93" s="340"/>
      <c r="AN93" s="340"/>
      <c r="AO93" s="340"/>
      <c r="AP93" s="340"/>
      <c r="AQ93" s="340"/>
      <c r="AR93" s="340"/>
      <c r="AS93" s="340"/>
      <c r="AT93" s="340"/>
    </row>
    <row r="94" spans="2:46">
      <c r="B94" s="340"/>
      <c r="C94" s="340"/>
      <c r="D94" s="340"/>
      <c r="E94" s="340"/>
      <c r="F94" s="340"/>
      <c r="G94" s="340"/>
      <c r="H94" s="340"/>
      <c r="I94" s="340"/>
      <c r="J94" s="340"/>
      <c r="K94" s="340"/>
      <c r="L94" s="340"/>
      <c r="M94" s="340"/>
      <c r="N94" s="340"/>
      <c r="O94" s="340"/>
      <c r="P94" s="340"/>
      <c r="Q94" s="340"/>
      <c r="R94" s="340"/>
      <c r="S94" s="340"/>
      <c r="T94" s="340"/>
      <c r="U94" s="340"/>
      <c r="V94" s="340"/>
      <c r="W94" s="340"/>
      <c r="X94" s="340"/>
      <c r="Y94" s="340"/>
      <c r="Z94" s="340"/>
      <c r="AA94" s="340"/>
      <c r="AB94" s="340"/>
      <c r="AC94" s="340"/>
      <c r="AD94" s="340"/>
      <c r="AE94" s="340"/>
      <c r="AF94" s="340"/>
      <c r="AG94" s="340"/>
      <c r="AH94" s="340"/>
      <c r="AI94" s="340"/>
      <c r="AJ94" s="340"/>
      <c r="AK94" s="340"/>
      <c r="AL94" s="340"/>
      <c r="AM94" s="340"/>
      <c r="AN94" s="340"/>
      <c r="AO94" s="340"/>
      <c r="AP94" s="340"/>
      <c r="AQ94" s="340"/>
      <c r="AR94" s="340"/>
      <c r="AS94" s="340"/>
      <c r="AT94" s="340"/>
    </row>
    <row r="95" spans="2:46">
      <c r="B95" s="340"/>
      <c r="C95" s="379"/>
      <c r="D95" s="340"/>
      <c r="E95" s="340"/>
      <c r="F95" s="340"/>
      <c r="G95" s="340"/>
      <c r="H95" s="340"/>
      <c r="I95" s="340"/>
      <c r="J95" s="340"/>
      <c r="K95" s="340"/>
      <c r="L95" s="340"/>
      <c r="M95" s="340"/>
      <c r="N95" s="340"/>
      <c r="O95" s="340"/>
      <c r="P95" s="340"/>
      <c r="Q95" s="340"/>
      <c r="R95" s="340"/>
      <c r="S95" s="340"/>
      <c r="T95" s="340"/>
      <c r="U95" s="340"/>
      <c r="V95" s="340"/>
      <c r="W95" s="340"/>
      <c r="X95" s="340"/>
      <c r="Y95" s="340"/>
      <c r="Z95" s="340"/>
      <c r="AA95" s="340"/>
      <c r="AB95" s="340"/>
      <c r="AC95" s="340"/>
      <c r="AD95" s="340"/>
      <c r="AE95" s="340"/>
      <c r="AF95" s="340"/>
      <c r="AG95" s="340"/>
      <c r="AH95" s="340"/>
      <c r="AI95" s="340"/>
      <c r="AJ95" s="340"/>
      <c r="AK95" s="340"/>
      <c r="AL95" s="340"/>
      <c r="AM95" s="340"/>
      <c r="AN95" s="340"/>
      <c r="AO95" s="340"/>
      <c r="AP95" s="340"/>
      <c r="AQ95" s="340"/>
      <c r="AR95" s="340"/>
      <c r="AS95" s="340"/>
      <c r="AT95" s="340"/>
    </row>
    <row r="96" spans="2:46">
      <c r="B96" s="340"/>
      <c r="C96" s="379"/>
      <c r="D96" s="340"/>
      <c r="E96" s="340"/>
      <c r="F96" s="340"/>
      <c r="G96" s="340"/>
      <c r="H96" s="340"/>
      <c r="I96" s="340"/>
      <c r="J96" s="340"/>
      <c r="K96" s="340"/>
      <c r="L96" s="340"/>
      <c r="M96" s="340"/>
      <c r="N96" s="340"/>
      <c r="O96" s="340"/>
      <c r="P96" s="340"/>
      <c r="Q96" s="340"/>
      <c r="R96" s="340"/>
      <c r="S96" s="340"/>
      <c r="T96" s="340"/>
      <c r="U96" s="340"/>
      <c r="V96" s="340"/>
      <c r="W96" s="340"/>
      <c r="X96" s="340"/>
      <c r="Y96" s="340"/>
      <c r="Z96" s="340"/>
      <c r="AA96" s="340"/>
      <c r="AB96" s="340"/>
      <c r="AC96" s="340"/>
      <c r="AD96" s="340"/>
      <c r="AE96" s="340"/>
      <c r="AF96" s="340"/>
      <c r="AG96" s="340"/>
      <c r="AH96" s="340"/>
      <c r="AI96" s="340"/>
      <c r="AJ96" s="340"/>
      <c r="AK96" s="340"/>
      <c r="AL96" s="340"/>
      <c r="AM96" s="340"/>
      <c r="AN96" s="340"/>
      <c r="AO96" s="340"/>
      <c r="AP96" s="340"/>
      <c r="AQ96" s="340"/>
      <c r="AR96" s="340"/>
      <c r="AS96" s="340"/>
      <c r="AT96" s="340"/>
    </row>
    <row r="97" spans="1:46">
      <c r="B97" s="340"/>
      <c r="C97" s="379"/>
      <c r="D97" s="340"/>
      <c r="E97" s="340"/>
      <c r="F97" s="340"/>
      <c r="G97" s="340"/>
      <c r="H97" s="340"/>
      <c r="I97" s="340"/>
      <c r="J97" s="340"/>
      <c r="K97" s="340"/>
      <c r="L97" s="340"/>
      <c r="M97" s="340"/>
      <c r="N97" s="340"/>
      <c r="O97" s="340"/>
      <c r="P97" s="340"/>
      <c r="Q97" s="340"/>
      <c r="R97" s="340"/>
      <c r="S97" s="340"/>
      <c r="T97" s="340"/>
      <c r="U97" s="340"/>
      <c r="V97" s="340"/>
      <c r="W97" s="340"/>
      <c r="X97" s="340"/>
      <c r="Y97" s="340"/>
      <c r="Z97" s="340"/>
      <c r="AA97" s="340"/>
      <c r="AB97" s="340"/>
      <c r="AC97" s="340"/>
      <c r="AD97" s="340"/>
      <c r="AE97" s="340"/>
      <c r="AF97" s="340"/>
      <c r="AG97" s="340"/>
      <c r="AH97" s="340"/>
      <c r="AI97" s="340"/>
      <c r="AJ97" s="340"/>
      <c r="AK97" s="340"/>
      <c r="AL97" s="340"/>
      <c r="AM97" s="340"/>
      <c r="AN97" s="340"/>
      <c r="AO97" s="340"/>
      <c r="AP97" s="340"/>
      <c r="AQ97" s="340"/>
      <c r="AR97" s="340"/>
      <c r="AS97" s="340"/>
      <c r="AT97" s="340"/>
    </row>
    <row r="98" spans="1:46">
      <c r="B98" s="340"/>
      <c r="C98" s="340"/>
      <c r="D98" s="340"/>
      <c r="E98" s="340"/>
      <c r="F98" s="340"/>
      <c r="G98" s="340"/>
      <c r="H98" s="340"/>
      <c r="I98" s="340"/>
      <c r="J98" s="340"/>
      <c r="K98" s="340"/>
      <c r="L98" s="340"/>
      <c r="M98" s="340"/>
      <c r="N98" s="340"/>
      <c r="O98" s="340"/>
      <c r="P98" s="340"/>
      <c r="Q98" s="340"/>
      <c r="R98" s="340"/>
      <c r="S98" s="340"/>
      <c r="T98" s="340"/>
      <c r="U98" s="340"/>
      <c r="V98" s="340"/>
      <c r="W98" s="340"/>
      <c r="X98" s="340"/>
      <c r="Y98" s="340"/>
      <c r="Z98" s="340"/>
      <c r="AA98" s="340"/>
      <c r="AB98" s="340"/>
      <c r="AC98" s="340"/>
      <c r="AD98" s="340"/>
      <c r="AE98" s="340"/>
      <c r="AF98" s="340"/>
      <c r="AG98" s="340"/>
      <c r="AH98" s="340"/>
      <c r="AI98" s="340"/>
      <c r="AJ98" s="340"/>
      <c r="AK98" s="340"/>
      <c r="AL98" s="340"/>
      <c r="AM98" s="340"/>
      <c r="AN98" s="340"/>
      <c r="AO98" s="340"/>
      <c r="AP98" s="340"/>
      <c r="AQ98" s="340"/>
      <c r="AR98" s="340"/>
      <c r="AS98" s="340"/>
      <c r="AT98" s="340"/>
    </row>
    <row r="99" spans="1:46">
      <c r="B99" s="377"/>
      <c r="C99" s="340"/>
      <c r="D99" s="340"/>
      <c r="E99" s="340"/>
      <c r="F99" s="340"/>
      <c r="G99" s="340"/>
      <c r="H99" s="340"/>
      <c r="I99" s="340"/>
      <c r="J99" s="340"/>
      <c r="K99" s="340"/>
      <c r="L99" s="340"/>
      <c r="M99" s="340"/>
      <c r="N99" s="340"/>
      <c r="O99" s="340"/>
      <c r="P99" s="340"/>
      <c r="Q99" s="340"/>
      <c r="R99" s="340"/>
      <c r="S99" s="340"/>
      <c r="T99" s="340"/>
      <c r="U99" s="340"/>
      <c r="V99" s="340"/>
      <c r="W99" s="340"/>
      <c r="X99" s="340"/>
      <c r="Y99" s="340"/>
      <c r="Z99" s="340"/>
      <c r="AA99" s="340"/>
      <c r="AB99" s="340"/>
      <c r="AC99" s="340"/>
      <c r="AD99" s="340"/>
      <c r="AE99" s="340"/>
      <c r="AF99" s="340"/>
      <c r="AG99" s="340"/>
      <c r="AH99" s="340"/>
      <c r="AI99" s="340"/>
      <c r="AJ99" s="340"/>
      <c r="AK99" s="340"/>
      <c r="AL99" s="340"/>
      <c r="AM99" s="340"/>
      <c r="AN99" s="340"/>
      <c r="AO99" s="340"/>
      <c r="AP99" s="340"/>
      <c r="AQ99" s="340"/>
      <c r="AR99" s="340"/>
      <c r="AS99" s="340"/>
      <c r="AT99" s="340"/>
    </row>
    <row r="100" spans="1:46">
      <c r="B100" s="340"/>
      <c r="C100" s="378"/>
      <c r="D100" s="378"/>
      <c r="E100" s="378"/>
      <c r="F100" s="378"/>
      <c r="G100" s="378"/>
      <c r="H100" s="378"/>
      <c r="I100" s="340"/>
      <c r="J100" s="340"/>
      <c r="K100" s="340"/>
      <c r="L100" s="340"/>
      <c r="M100" s="340"/>
      <c r="N100" s="340"/>
      <c r="O100" s="340"/>
      <c r="P100" s="340"/>
      <c r="Q100" s="340"/>
      <c r="R100" s="340"/>
      <c r="S100" s="340"/>
      <c r="T100" s="340"/>
      <c r="U100" s="340"/>
      <c r="V100" s="340"/>
      <c r="W100" s="340"/>
      <c r="X100" s="340"/>
      <c r="Y100" s="340"/>
      <c r="Z100" s="340"/>
      <c r="AA100" s="340"/>
      <c r="AB100" s="340"/>
      <c r="AC100" s="340"/>
      <c r="AD100" s="340"/>
      <c r="AE100" s="340"/>
      <c r="AF100" s="340"/>
      <c r="AG100" s="340"/>
      <c r="AH100" s="340"/>
      <c r="AI100" s="340"/>
      <c r="AJ100" s="340"/>
      <c r="AK100" s="340"/>
      <c r="AL100" s="340"/>
      <c r="AM100" s="340"/>
      <c r="AN100" s="340"/>
      <c r="AO100" s="340"/>
      <c r="AP100" s="340"/>
      <c r="AQ100" s="340"/>
      <c r="AR100" s="340"/>
      <c r="AS100" s="340"/>
      <c r="AT100" s="340"/>
    </row>
    <row r="101" spans="1:46">
      <c r="B101" s="379"/>
      <c r="C101" s="375"/>
      <c r="D101" s="375"/>
      <c r="E101" s="375"/>
      <c r="F101" s="375"/>
      <c r="G101" s="375"/>
      <c r="H101" s="375"/>
      <c r="I101" s="340"/>
      <c r="J101" s="340"/>
      <c r="K101" s="340"/>
      <c r="L101" s="340"/>
      <c r="M101" s="340"/>
      <c r="N101" s="340"/>
      <c r="O101" s="340"/>
      <c r="P101" s="340"/>
      <c r="Q101" s="340"/>
      <c r="R101" s="340"/>
      <c r="S101" s="340"/>
      <c r="T101" s="340"/>
      <c r="U101" s="340"/>
      <c r="V101" s="340"/>
      <c r="W101" s="340"/>
      <c r="X101" s="340"/>
      <c r="Y101" s="340"/>
      <c r="Z101" s="340"/>
      <c r="AA101" s="340"/>
      <c r="AB101" s="340"/>
      <c r="AC101" s="340"/>
      <c r="AD101" s="340"/>
      <c r="AE101" s="340"/>
      <c r="AF101" s="340"/>
      <c r="AG101" s="340"/>
      <c r="AH101" s="340"/>
      <c r="AI101" s="340"/>
      <c r="AJ101" s="340"/>
      <c r="AK101" s="340"/>
      <c r="AL101" s="340"/>
      <c r="AM101" s="340"/>
      <c r="AN101" s="340"/>
      <c r="AO101" s="340"/>
      <c r="AP101" s="340"/>
      <c r="AQ101" s="340"/>
      <c r="AR101" s="340"/>
      <c r="AS101" s="340"/>
      <c r="AT101" s="340"/>
    </row>
    <row r="102" spans="1:46">
      <c r="B102" s="379"/>
      <c r="C102" s="375"/>
      <c r="D102" s="375"/>
      <c r="E102" s="375"/>
      <c r="F102" s="375"/>
      <c r="G102" s="375"/>
      <c r="H102" s="375"/>
      <c r="I102" s="340"/>
      <c r="J102" s="340"/>
      <c r="K102" s="340"/>
      <c r="L102" s="340"/>
      <c r="M102" s="340"/>
      <c r="N102" s="340"/>
      <c r="O102" s="340"/>
      <c r="P102" s="340"/>
      <c r="Q102" s="340"/>
      <c r="R102" s="340"/>
      <c r="S102" s="340"/>
      <c r="T102" s="340"/>
      <c r="U102" s="340"/>
      <c r="V102" s="340"/>
      <c r="W102" s="340"/>
      <c r="X102" s="340"/>
      <c r="Y102" s="340"/>
      <c r="Z102" s="340"/>
      <c r="AA102" s="340"/>
      <c r="AB102" s="340"/>
      <c r="AC102" s="340"/>
      <c r="AD102" s="340"/>
      <c r="AE102" s="340"/>
      <c r="AF102" s="340"/>
      <c r="AG102" s="340"/>
      <c r="AH102" s="340"/>
      <c r="AI102" s="340"/>
      <c r="AJ102" s="340"/>
      <c r="AK102" s="340"/>
      <c r="AL102" s="340"/>
      <c r="AM102" s="340"/>
      <c r="AN102" s="340"/>
      <c r="AO102" s="340"/>
      <c r="AP102" s="340"/>
      <c r="AQ102" s="340"/>
      <c r="AR102" s="340"/>
      <c r="AS102" s="340"/>
      <c r="AT102" s="340"/>
    </row>
    <row r="103" spans="1:46" s="319" customFormat="1">
      <c r="B103" s="378"/>
      <c r="C103" s="375"/>
      <c r="D103" s="375"/>
      <c r="E103" s="375"/>
      <c r="F103" s="375"/>
      <c r="G103" s="375"/>
      <c r="H103" s="375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  <c r="AA103" s="375"/>
      <c r="AB103" s="375"/>
      <c r="AC103" s="375"/>
      <c r="AD103" s="375"/>
      <c r="AE103" s="375"/>
      <c r="AF103" s="375"/>
      <c r="AG103" s="375"/>
      <c r="AH103" s="375"/>
      <c r="AI103" s="375"/>
      <c r="AJ103" s="375"/>
      <c r="AK103" s="375"/>
      <c r="AL103" s="375"/>
      <c r="AM103" s="375"/>
      <c r="AN103" s="375"/>
      <c r="AO103" s="375"/>
      <c r="AP103" s="375"/>
      <c r="AQ103" s="375"/>
      <c r="AR103" s="375"/>
      <c r="AS103" s="375"/>
      <c r="AT103" s="375"/>
    </row>
    <row r="104" spans="1:46">
      <c r="B104" s="340"/>
      <c r="C104" s="340"/>
      <c r="D104" s="340"/>
      <c r="E104" s="340"/>
      <c r="F104" s="340"/>
      <c r="G104" s="340"/>
      <c r="H104" s="340"/>
      <c r="I104" s="340"/>
      <c r="J104" s="340"/>
      <c r="K104" s="340"/>
      <c r="L104" s="340"/>
      <c r="M104" s="340"/>
      <c r="N104" s="340"/>
      <c r="O104" s="340"/>
      <c r="P104" s="340"/>
      <c r="Q104" s="340"/>
      <c r="R104" s="340"/>
      <c r="S104" s="340"/>
      <c r="T104" s="340"/>
      <c r="U104" s="340"/>
      <c r="V104" s="340"/>
      <c r="W104" s="340"/>
      <c r="X104" s="340"/>
      <c r="Y104" s="340"/>
      <c r="Z104" s="340"/>
      <c r="AA104" s="340"/>
      <c r="AB104" s="340"/>
      <c r="AC104" s="340"/>
      <c r="AD104" s="340"/>
      <c r="AE104" s="340"/>
      <c r="AF104" s="340"/>
      <c r="AG104" s="340"/>
      <c r="AH104" s="340"/>
      <c r="AI104" s="340"/>
      <c r="AJ104" s="340"/>
      <c r="AK104" s="340"/>
      <c r="AL104" s="340"/>
      <c r="AM104" s="340"/>
      <c r="AN104" s="340"/>
      <c r="AO104" s="340"/>
      <c r="AP104" s="340"/>
      <c r="AQ104" s="340"/>
      <c r="AR104" s="340"/>
      <c r="AS104" s="340"/>
      <c r="AT104" s="340"/>
    </row>
    <row r="105" spans="1:46">
      <c r="A105" s="340"/>
      <c r="B105" s="379"/>
      <c r="C105" s="340"/>
      <c r="D105" s="340"/>
      <c r="E105" s="340"/>
      <c r="F105" s="340"/>
      <c r="G105" s="340"/>
      <c r="H105" s="340"/>
      <c r="I105" s="340"/>
      <c r="J105" s="340"/>
      <c r="K105" s="340"/>
      <c r="L105" s="340"/>
      <c r="M105" s="340"/>
      <c r="N105" s="340"/>
      <c r="O105" s="340"/>
      <c r="P105" s="340"/>
      <c r="Q105" s="340"/>
      <c r="R105" s="340"/>
      <c r="S105" s="340"/>
      <c r="T105" s="340"/>
      <c r="U105" s="340"/>
      <c r="V105" s="340"/>
      <c r="W105" s="340"/>
      <c r="X105" s="340"/>
      <c r="Y105" s="340"/>
      <c r="Z105" s="340"/>
      <c r="AA105" s="340"/>
      <c r="AB105" s="340"/>
      <c r="AC105" s="340"/>
      <c r="AD105" s="340"/>
    </row>
    <row r="106" spans="1:46">
      <c r="A106" s="340"/>
      <c r="B106" s="340"/>
      <c r="C106" s="340"/>
      <c r="D106" s="340"/>
      <c r="E106" s="340"/>
      <c r="F106" s="340"/>
      <c r="G106" s="340"/>
      <c r="H106" s="340"/>
      <c r="I106" s="340"/>
      <c r="J106" s="340"/>
      <c r="K106" s="340"/>
      <c r="L106" s="340"/>
      <c r="M106" s="340"/>
      <c r="N106" s="340"/>
      <c r="O106" s="340"/>
      <c r="P106" s="340"/>
      <c r="Q106" s="340"/>
      <c r="R106" s="340"/>
      <c r="S106" s="340"/>
      <c r="T106" s="340"/>
      <c r="U106" s="340"/>
      <c r="V106" s="340"/>
      <c r="W106" s="340"/>
      <c r="X106" s="340"/>
      <c r="Y106" s="340"/>
      <c r="Z106" s="340"/>
      <c r="AA106" s="340"/>
      <c r="AB106" s="340"/>
      <c r="AC106" s="340"/>
      <c r="AD106" s="340"/>
    </row>
    <row r="107" spans="1:46">
      <c r="A107" s="340"/>
      <c r="B107" s="340"/>
      <c r="C107" s="340"/>
      <c r="D107" s="340"/>
      <c r="E107" s="340"/>
      <c r="F107" s="340"/>
      <c r="G107" s="340"/>
      <c r="H107" s="340"/>
      <c r="I107" s="340"/>
      <c r="J107" s="340"/>
      <c r="K107" s="340"/>
      <c r="L107" s="340"/>
      <c r="M107" s="340"/>
      <c r="N107" s="340"/>
      <c r="O107" s="340"/>
      <c r="P107" s="340"/>
      <c r="Q107" s="340"/>
      <c r="R107" s="340"/>
      <c r="S107" s="340"/>
      <c r="T107" s="340"/>
      <c r="U107" s="340"/>
      <c r="V107" s="340"/>
      <c r="W107" s="340"/>
      <c r="X107" s="340"/>
      <c r="Y107" s="340"/>
      <c r="Z107" s="340"/>
      <c r="AA107" s="340"/>
      <c r="AB107" s="340"/>
      <c r="AC107" s="340"/>
      <c r="AD107" s="340"/>
    </row>
    <row r="108" spans="1:46">
      <c r="A108" s="340"/>
      <c r="B108" s="340"/>
      <c r="C108" s="340"/>
      <c r="D108" s="340"/>
      <c r="E108" s="340"/>
      <c r="F108" s="340"/>
      <c r="G108" s="340"/>
      <c r="H108" s="340"/>
      <c r="I108" s="340"/>
      <c r="J108" s="340"/>
      <c r="K108" s="340"/>
      <c r="L108" s="340"/>
      <c r="M108" s="340"/>
      <c r="N108" s="340"/>
      <c r="O108" s="340"/>
      <c r="P108" s="340"/>
      <c r="Q108" s="340"/>
      <c r="R108" s="340"/>
      <c r="S108" s="340"/>
      <c r="T108" s="340"/>
      <c r="U108" s="340"/>
      <c r="V108" s="340"/>
      <c r="W108" s="340"/>
      <c r="X108" s="340"/>
      <c r="Y108" s="340"/>
      <c r="Z108" s="340"/>
      <c r="AA108" s="340"/>
      <c r="AB108" s="340"/>
      <c r="AC108" s="340"/>
      <c r="AD108" s="340"/>
    </row>
    <row r="109" spans="1:46">
      <c r="A109" s="340"/>
      <c r="B109" s="340"/>
      <c r="C109" s="340"/>
      <c r="D109" s="340"/>
      <c r="E109" s="340"/>
      <c r="F109" s="340"/>
      <c r="G109" s="340"/>
      <c r="H109" s="340"/>
      <c r="I109" s="340"/>
      <c r="J109" s="340"/>
      <c r="K109" s="340"/>
      <c r="L109" s="340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  <c r="AA109" s="340"/>
      <c r="AB109" s="340"/>
      <c r="AC109" s="340"/>
      <c r="AD109" s="340"/>
    </row>
    <row r="110" spans="1:46">
      <c r="A110" s="340"/>
      <c r="B110" s="340"/>
      <c r="C110" s="340"/>
      <c r="D110" s="340"/>
      <c r="E110" s="340"/>
      <c r="F110" s="340"/>
      <c r="G110" s="340"/>
      <c r="H110" s="340"/>
      <c r="I110" s="340"/>
      <c r="J110" s="340"/>
      <c r="K110" s="340"/>
      <c r="L110" s="340"/>
      <c r="M110" s="340"/>
      <c r="N110" s="340"/>
      <c r="O110" s="340"/>
      <c r="P110" s="340"/>
      <c r="Q110" s="340"/>
      <c r="R110" s="340"/>
      <c r="S110" s="340"/>
      <c r="T110" s="340"/>
      <c r="U110" s="340"/>
      <c r="V110" s="340"/>
      <c r="W110" s="340"/>
      <c r="X110" s="340"/>
      <c r="Y110" s="340"/>
      <c r="Z110" s="340"/>
      <c r="AA110" s="340"/>
      <c r="AB110" s="340"/>
      <c r="AC110" s="340"/>
      <c r="AD110" s="340"/>
    </row>
    <row r="111" spans="1:46">
      <c r="A111" s="340"/>
      <c r="B111" s="340"/>
      <c r="C111" s="340"/>
      <c r="D111" s="340"/>
      <c r="E111" s="340"/>
      <c r="F111" s="340"/>
      <c r="G111" s="340"/>
      <c r="H111" s="340"/>
      <c r="I111" s="340"/>
      <c r="J111" s="340"/>
      <c r="K111" s="340"/>
      <c r="L111" s="340"/>
      <c r="M111" s="340"/>
      <c r="N111" s="340"/>
      <c r="O111" s="340"/>
      <c r="P111" s="340"/>
      <c r="Q111" s="340"/>
      <c r="R111" s="340"/>
      <c r="S111" s="340"/>
      <c r="T111" s="340"/>
      <c r="U111" s="340"/>
      <c r="V111" s="340"/>
      <c r="W111" s="340"/>
      <c r="X111" s="340"/>
      <c r="Y111" s="340"/>
      <c r="Z111" s="340"/>
      <c r="AA111" s="340"/>
      <c r="AB111" s="340"/>
      <c r="AC111" s="340"/>
      <c r="AD111" s="340"/>
    </row>
    <row r="112" spans="1:46">
      <c r="A112" s="340"/>
      <c r="B112" s="340"/>
      <c r="C112" s="340"/>
      <c r="D112" s="340"/>
      <c r="E112" s="340"/>
      <c r="F112" s="340"/>
      <c r="G112" s="340"/>
      <c r="H112" s="340"/>
      <c r="I112" s="340"/>
      <c r="J112" s="380"/>
      <c r="K112" s="340"/>
      <c r="L112" s="340"/>
      <c r="M112" s="340"/>
      <c r="N112" s="340"/>
      <c r="O112" s="340"/>
      <c r="P112" s="340"/>
      <c r="Q112" s="340"/>
      <c r="R112" s="340"/>
      <c r="S112" s="340"/>
      <c r="T112" s="340"/>
      <c r="U112" s="340"/>
      <c r="V112" s="340"/>
      <c r="W112" s="340"/>
      <c r="X112" s="340"/>
      <c r="Y112" s="340"/>
      <c r="Z112" s="340"/>
      <c r="AA112" s="340"/>
      <c r="AB112" s="340"/>
      <c r="AC112" s="340"/>
      <c r="AD112" s="340"/>
    </row>
    <row r="113" spans="1:30">
      <c r="A113" s="340"/>
      <c r="B113" s="340"/>
      <c r="C113" s="340"/>
      <c r="D113" s="705"/>
      <c r="E113" s="704"/>
      <c r="F113" s="705"/>
      <c r="G113" s="704"/>
      <c r="H113" s="704"/>
      <c r="I113" s="704"/>
      <c r="J113" s="705"/>
      <c r="K113" s="705"/>
      <c r="L113" s="705"/>
      <c r="M113" s="705"/>
      <c r="N113" s="340"/>
      <c r="O113" s="340"/>
      <c r="P113" s="340"/>
      <c r="Q113" s="340"/>
      <c r="R113" s="340"/>
      <c r="S113" s="340"/>
      <c r="T113" s="340"/>
      <c r="U113" s="340"/>
      <c r="V113" s="340"/>
      <c r="W113" s="340"/>
      <c r="X113" s="340"/>
      <c r="Y113" s="340"/>
      <c r="Z113" s="340"/>
      <c r="AA113" s="340"/>
      <c r="AB113" s="340"/>
      <c r="AC113" s="340"/>
      <c r="AD113" s="340"/>
    </row>
    <row r="114" spans="1:30">
      <c r="A114" s="340"/>
      <c r="B114" s="340"/>
      <c r="C114" s="340"/>
      <c r="D114" s="704"/>
      <c r="E114" s="704"/>
      <c r="F114" s="704"/>
      <c r="G114" s="704"/>
      <c r="H114" s="704"/>
      <c r="I114" s="704"/>
      <c r="J114" s="705"/>
      <c r="K114" s="705"/>
      <c r="L114" s="705"/>
      <c r="M114" s="705"/>
      <c r="N114" s="340"/>
      <c r="O114" s="340"/>
      <c r="P114" s="340"/>
      <c r="Q114" s="340"/>
      <c r="R114" s="340"/>
      <c r="S114" s="340"/>
      <c r="T114" s="340"/>
      <c r="U114" s="340"/>
      <c r="V114" s="340"/>
      <c r="W114" s="340"/>
      <c r="X114" s="340"/>
      <c r="Y114" s="340"/>
      <c r="Z114" s="340"/>
      <c r="AA114" s="340"/>
      <c r="AB114" s="340"/>
      <c r="AC114" s="340"/>
      <c r="AD114" s="340"/>
    </row>
    <row r="115" spans="1:30">
      <c r="A115" s="340"/>
      <c r="B115" s="340"/>
      <c r="C115" s="340"/>
      <c r="D115" s="340"/>
      <c r="E115" s="340"/>
      <c r="F115" s="340"/>
      <c r="G115" s="340"/>
      <c r="H115" s="340"/>
      <c r="I115" s="340"/>
      <c r="J115" s="340"/>
      <c r="K115" s="340"/>
      <c r="L115" s="340"/>
      <c r="M115" s="340"/>
      <c r="N115" s="340"/>
      <c r="O115" s="340"/>
      <c r="P115" s="340"/>
      <c r="Q115" s="340"/>
      <c r="R115" s="340"/>
      <c r="S115" s="340"/>
      <c r="T115" s="340"/>
      <c r="U115" s="340"/>
      <c r="V115" s="340"/>
      <c r="W115" s="340"/>
      <c r="X115" s="340"/>
      <c r="Y115" s="340"/>
      <c r="Z115" s="340"/>
      <c r="AA115" s="340"/>
      <c r="AB115" s="340"/>
      <c r="AC115" s="340"/>
      <c r="AD115" s="340"/>
    </row>
    <row r="116" spans="1:30">
      <c r="A116" s="340"/>
      <c r="B116" s="340"/>
      <c r="C116" s="340"/>
      <c r="D116" s="340"/>
      <c r="E116" s="340"/>
      <c r="F116" s="340"/>
      <c r="G116" s="340"/>
      <c r="H116" s="340"/>
      <c r="I116" s="340"/>
      <c r="J116" s="340"/>
      <c r="K116" s="340"/>
      <c r="L116" s="340"/>
      <c r="M116" s="340"/>
      <c r="N116" s="340"/>
      <c r="O116" s="340"/>
      <c r="P116" s="340"/>
      <c r="Q116" s="340"/>
      <c r="R116" s="340"/>
      <c r="S116" s="340"/>
      <c r="T116" s="340"/>
      <c r="U116" s="340"/>
      <c r="V116" s="340"/>
      <c r="W116" s="340"/>
      <c r="X116" s="340"/>
      <c r="Y116" s="340"/>
      <c r="Z116" s="340"/>
      <c r="AA116" s="340"/>
      <c r="AB116" s="340"/>
      <c r="AC116" s="340"/>
      <c r="AD116" s="340"/>
    </row>
    <row r="117" spans="1:30">
      <c r="A117" s="340"/>
      <c r="B117" s="340"/>
      <c r="C117" s="340"/>
      <c r="D117" s="340"/>
      <c r="E117" s="340"/>
      <c r="F117" s="340"/>
      <c r="G117" s="379"/>
      <c r="H117" s="340"/>
      <c r="I117" s="340"/>
      <c r="J117" s="340"/>
      <c r="K117" s="340"/>
      <c r="L117" s="340"/>
      <c r="M117" s="340"/>
      <c r="N117" s="340"/>
      <c r="O117" s="340"/>
      <c r="P117" s="340"/>
      <c r="Q117" s="340"/>
      <c r="R117" s="340"/>
      <c r="S117" s="340"/>
      <c r="T117" s="340"/>
      <c r="U117" s="340"/>
      <c r="V117" s="340"/>
      <c r="W117" s="340"/>
      <c r="X117" s="340"/>
      <c r="Y117" s="340"/>
      <c r="Z117" s="340"/>
      <c r="AA117" s="340"/>
      <c r="AB117" s="340"/>
      <c r="AC117" s="340"/>
      <c r="AD117" s="340"/>
    </row>
    <row r="118" spans="1:30">
      <c r="A118" s="340"/>
      <c r="B118" s="340"/>
      <c r="C118" s="340"/>
      <c r="D118" s="340"/>
      <c r="E118" s="340"/>
      <c r="F118" s="340"/>
      <c r="G118" s="340"/>
      <c r="H118" s="340"/>
      <c r="I118" s="340"/>
      <c r="J118" s="340"/>
      <c r="K118" s="340"/>
      <c r="L118" s="340"/>
      <c r="M118" s="340"/>
      <c r="N118" s="340"/>
      <c r="O118" s="340"/>
      <c r="P118" s="340"/>
      <c r="Q118" s="340"/>
      <c r="R118" s="340"/>
      <c r="S118" s="340"/>
      <c r="T118" s="340"/>
      <c r="U118" s="340"/>
      <c r="V118" s="340"/>
      <c r="W118" s="340"/>
      <c r="X118" s="340"/>
      <c r="Y118" s="340"/>
      <c r="Z118" s="340"/>
      <c r="AA118" s="340"/>
      <c r="AB118" s="340"/>
      <c r="AC118" s="340"/>
      <c r="AD118" s="340"/>
    </row>
    <row r="119" spans="1:30">
      <c r="A119" s="340"/>
      <c r="B119" s="340"/>
      <c r="C119" s="340"/>
      <c r="D119" s="340"/>
      <c r="E119" s="340"/>
      <c r="F119" s="340"/>
      <c r="G119" s="340"/>
      <c r="H119" s="340"/>
      <c r="I119" s="340"/>
      <c r="J119" s="340"/>
      <c r="K119" s="340"/>
      <c r="L119" s="340"/>
      <c r="M119" s="340"/>
      <c r="N119" s="340"/>
      <c r="O119" s="340"/>
      <c r="P119" s="340"/>
      <c r="Q119" s="340"/>
      <c r="R119" s="340"/>
      <c r="S119" s="340"/>
      <c r="T119" s="340"/>
      <c r="U119" s="340"/>
      <c r="V119" s="340"/>
      <c r="W119" s="340"/>
      <c r="X119" s="340"/>
      <c r="Y119" s="340"/>
      <c r="Z119" s="340"/>
      <c r="AA119" s="340"/>
      <c r="AB119" s="340"/>
      <c r="AC119" s="340"/>
      <c r="AD119" s="340"/>
    </row>
    <row r="120" spans="1:30">
      <c r="A120" s="340"/>
      <c r="B120" s="340"/>
      <c r="C120" s="340"/>
      <c r="D120" s="340"/>
      <c r="E120" s="340"/>
      <c r="F120" s="340"/>
      <c r="G120" s="340"/>
      <c r="H120" s="340"/>
      <c r="I120" s="340"/>
      <c r="J120" s="340"/>
      <c r="K120" s="340"/>
      <c r="L120" s="340"/>
      <c r="M120" s="340"/>
      <c r="N120" s="340"/>
      <c r="O120" s="340"/>
      <c r="P120" s="340"/>
      <c r="Q120" s="340"/>
      <c r="R120" s="340"/>
      <c r="S120" s="340"/>
      <c r="T120" s="340"/>
      <c r="U120" s="340"/>
      <c r="V120" s="340"/>
      <c r="W120" s="340"/>
      <c r="X120" s="340"/>
      <c r="Y120" s="340"/>
      <c r="Z120" s="340"/>
      <c r="AA120" s="340"/>
      <c r="AB120" s="340"/>
      <c r="AC120" s="340"/>
      <c r="AD120" s="340"/>
    </row>
    <row r="121" spans="1:30">
      <c r="A121" s="340"/>
      <c r="B121" s="340"/>
      <c r="C121" s="340"/>
      <c r="D121" s="340"/>
      <c r="E121" s="340"/>
      <c r="F121" s="340"/>
      <c r="G121" s="340"/>
      <c r="H121" s="340"/>
      <c r="I121" s="340"/>
      <c r="J121" s="340"/>
      <c r="K121" s="340"/>
      <c r="L121" s="340"/>
      <c r="M121" s="340"/>
      <c r="N121" s="340"/>
      <c r="O121" s="340"/>
      <c r="P121" s="340"/>
      <c r="Q121" s="340"/>
      <c r="R121" s="340"/>
      <c r="S121" s="340"/>
      <c r="T121" s="340"/>
      <c r="U121" s="340"/>
      <c r="V121" s="340"/>
      <c r="W121" s="340"/>
      <c r="X121" s="340"/>
      <c r="Y121" s="340"/>
      <c r="Z121" s="340"/>
      <c r="AA121" s="340"/>
      <c r="AB121" s="340"/>
      <c r="AC121" s="340"/>
      <c r="AD121" s="340"/>
    </row>
    <row r="122" spans="1:30">
      <c r="A122" s="340"/>
      <c r="B122" s="340"/>
      <c r="C122" s="340"/>
      <c r="D122" s="340"/>
      <c r="E122" s="340"/>
      <c r="F122" s="340"/>
      <c r="G122" s="340"/>
      <c r="H122" s="340"/>
      <c r="I122" s="340"/>
      <c r="J122" s="340"/>
      <c r="K122" s="340"/>
      <c r="L122" s="340"/>
      <c r="M122" s="340"/>
      <c r="N122" s="340"/>
      <c r="O122" s="340"/>
      <c r="P122" s="340"/>
      <c r="Q122" s="340"/>
      <c r="R122" s="340"/>
      <c r="S122" s="340"/>
      <c r="T122" s="340"/>
      <c r="U122" s="340"/>
      <c r="V122" s="340"/>
      <c r="W122" s="340"/>
      <c r="X122" s="340"/>
      <c r="Y122" s="340"/>
      <c r="Z122" s="340"/>
      <c r="AA122" s="340"/>
      <c r="AB122" s="340"/>
      <c r="AC122" s="340"/>
      <c r="AD122" s="340"/>
    </row>
    <row r="123" spans="1:30">
      <c r="A123" s="340"/>
      <c r="B123" s="340"/>
      <c r="C123" s="340"/>
      <c r="D123" s="340"/>
      <c r="E123" s="340"/>
      <c r="F123" s="340"/>
      <c r="G123" s="340"/>
      <c r="H123" s="340"/>
      <c r="I123" s="340"/>
      <c r="J123" s="340"/>
      <c r="K123" s="340"/>
      <c r="L123" s="340"/>
      <c r="M123" s="340"/>
      <c r="N123" s="340"/>
      <c r="O123" s="340"/>
      <c r="P123" s="340"/>
      <c r="Q123" s="340"/>
      <c r="R123" s="340"/>
      <c r="S123" s="340"/>
      <c r="T123" s="340"/>
      <c r="U123" s="340"/>
      <c r="V123" s="340"/>
      <c r="W123" s="340"/>
      <c r="X123" s="340"/>
      <c r="Y123" s="340"/>
      <c r="Z123" s="340"/>
      <c r="AA123" s="340"/>
      <c r="AB123" s="340"/>
      <c r="AC123" s="340"/>
      <c r="AD123" s="340"/>
    </row>
    <row r="124" spans="1:30">
      <c r="A124" s="340"/>
      <c r="B124" s="340"/>
      <c r="C124" s="340"/>
      <c r="D124" s="340"/>
      <c r="E124" s="340"/>
      <c r="F124" s="340"/>
      <c r="G124" s="340"/>
      <c r="H124" s="340"/>
      <c r="I124" s="340"/>
      <c r="J124" s="340"/>
      <c r="K124" s="340"/>
      <c r="L124" s="340"/>
      <c r="M124" s="340"/>
      <c r="N124" s="340"/>
      <c r="O124" s="340"/>
      <c r="P124" s="340"/>
      <c r="Q124" s="340"/>
      <c r="R124" s="340"/>
      <c r="S124" s="340"/>
      <c r="T124" s="340"/>
      <c r="U124" s="340"/>
      <c r="V124" s="340"/>
      <c r="W124" s="340"/>
      <c r="X124" s="340"/>
      <c r="Y124" s="340"/>
      <c r="Z124" s="340"/>
      <c r="AA124" s="340"/>
      <c r="AB124" s="340"/>
      <c r="AC124" s="340"/>
      <c r="AD124" s="340"/>
    </row>
    <row r="125" spans="1:30">
      <c r="A125" s="340"/>
      <c r="B125" s="340"/>
      <c r="C125" s="340"/>
      <c r="D125" s="340"/>
      <c r="E125" s="340"/>
      <c r="F125" s="340"/>
      <c r="G125" s="340"/>
      <c r="H125" s="340"/>
      <c r="I125" s="340"/>
      <c r="J125" s="340"/>
      <c r="K125" s="340"/>
      <c r="L125" s="340"/>
      <c r="M125" s="340"/>
      <c r="N125" s="340"/>
      <c r="O125" s="340"/>
      <c r="P125" s="340"/>
      <c r="Q125" s="340"/>
      <c r="R125" s="340"/>
      <c r="S125" s="340"/>
      <c r="T125" s="340"/>
      <c r="U125" s="340"/>
      <c r="V125" s="340"/>
      <c r="W125" s="340"/>
      <c r="X125" s="340"/>
      <c r="Y125" s="340"/>
      <c r="Z125" s="340"/>
      <c r="AA125" s="340"/>
      <c r="AB125" s="340"/>
      <c r="AC125" s="340"/>
      <c r="AD125" s="340"/>
    </row>
    <row r="126" spans="1:30">
      <c r="A126" s="340"/>
      <c r="B126" s="340"/>
      <c r="C126" s="340"/>
      <c r="D126" s="340"/>
      <c r="E126" s="340"/>
      <c r="F126" s="340"/>
      <c r="G126" s="340"/>
      <c r="H126" s="340"/>
      <c r="I126" s="340"/>
      <c r="J126" s="340"/>
      <c r="K126" s="340"/>
      <c r="L126" s="340"/>
      <c r="M126" s="340"/>
      <c r="N126" s="340"/>
      <c r="O126" s="340"/>
      <c r="P126" s="340"/>
      <c r="Q126" s="340"/>
      <c r="R126" s="340"/>
      <c r="S126" s="340"/>
      <c r="T126" s="340"/>
      <c r="U126" s="340"/>
      <c r="V126" s="340"/>
      <c r="W126" s="340"/>
      <c r="X126" s="340"/>
      <c r="Y126" s="340"/>
      <c r="Z126" s="340"/>
      <c r="AA126" s="340"/>
      <c r="AB126" s="340"/>
      <c r="AC126" s="340"/>
      <c r="AD126" s="340"/>
    </row>
    <row r="127" spans="1:30">
      <c r="A127" s="340"/>
      <c r="B127" s="340"/>
      <c r="C127" s="340"/>
      <c r="D127" s="340"/>
      <c r="E127" s="340"/>
      <c r="F127" s="340"/>
      <c r="G127" s="340"/>
      <c r="H127" s="340"/>
      <c r="I127" s="340"/>
      <c r="J127" s="340"/>
      <c r="K127" s="340"/>
      <c r="L127" s="340"/>
      <c r="M127" s="340"/>
      <c r="N127" s="340"/>
      <c r="O127" s="340"/>
      <c r="P127" s="340"/>
      <c r="Q127" s="340"/>
      <c r="R127" s="340"/>
      <c r="S127" s="340"/>
      <c r="T127" s="340"/>
      <c r="U127" s="340"/>
      <c r="V127" s="340"/>
      <c r="W127" s="340"/>
      <c r="X127" s="340"/>
      <c r="Y127" s="340"/>
      <c r="Z127" s="340"/>
      <c r="AA127" s="340"/>
      <c r="AB127" s="340"/>
      <c r="AC127" s="340"/>
      <c r="AD127" s="340"/>
    </row>
  </sheetData>
  <mergeCells count="10">
    <mergeCell ref="I23:S23"/>
    <mergeCell ref="I37:S37"/>
    <mergeCell ref="J61:M61"/>
    <mergeCell ref="F113:I114"/>
    <mergeCell ref="D113:E114"/>
    <mergeCell ref="J113:M114"/>
    <mergeCell ref="K24:S24"/>
    <mergeCell ref="K38:S38"/>
    <mergeCell ref="I26:I34"/>
    <mergeCell ref="I40:I48"/>
  </mergeCells>
  <dataValidations count="3">
    <dataValidation allowBlank="1" showInputMessage="1" showErrorMessage="1" sqref="I23 I37" xr:uid="{531DC85A-D153-4808-A7FA-358674E822A9}"/>
    <dataValidation type="list" allowBlank="1" showInputMessage="1" showErrorMessage="1" sqref="B57:B58" xr:uid="{9DBEEF93-E9F4-4F0C-88C5-49889461C588}">
      <formula1>$B$57:$B$58</formula1>
    </dataValidation>
    <dataValidation type="list" allowBlank="1" showInputMessage="1" showErrorMessage="1" sqref="C5" xr:uid="{7012364B-8DEB-450B-92D4-643D503D2EF2}">
      <formula1>$K$4:$K$5</formula1>
    </dataValidation>
  </dataValidation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0">
    <comment s:ref="D6" rgbClr="6F9AA8"/>
    <comment s:ref="H6" rgbClr="6F9AA8"/>
    <comment s:ref="C33" rgbClr="6F9AA8"/>
    <comment s:ref="D33" rgbClr="6F9AA8"/>
    <comment s:ref="E33" rgbClr="6F9AA8"/>
    <comment s:ref="F33" rgbClr="6F9AA8"/>
    <comment s:ref="G33" rgbClr="6F9AA8"/>
    <comment s:ref="C34" rgbClr="6F9AA8"/>
    <comment s:ref="E34" rgbClr="6F9AA8"/>
    <comment s:ref="C35" rgbClr="6F9AA8"/>
    <comment s:ref="E35" rgbClr="6F9AA8"/>
    <comment s:ref="C38" rgbClr="6F9AA8"/>
    <comment s:ref="D38" rgbClr="6F9AA8"/>
    <comment s:ref="E38" rgbClr="6F9AA8"/>
    <comment s:ref="C39" rgbClr="6F9AA8"/>
    <comment s:ref="E39" rgbClr="6F9AA8"/>
    <comment s:ref="C40" rgbClr="6F9AA8"/>
    <comment s:ref="E40" rgbClr="6F9AA8"/>
    <comment s:ref="C43" rgbClr="6F9AA8"/>
    <comment s:ref="D43" rgbClr="6F9AA8"/>
    <comment s:ref="E43" rgbClr="6F9AA8"/>
    <comment s:ref="C44" rgbClr="6F9AA8"/>
    <comment s:ref="E44" rgbClr="6F9AA8"/>
    <comment s:ref="C45" rgbClr="6F9AA8"/>
    <comment s:ref="E45" rgbClr="6F9AA8"/>
    <comment s:ref="C48" rgbClr="6F9AA8"/>
    <comment s:ref="D48" rgbClr="6F9AA8"/>
    <comment s:ref="E48" rgbClr="6F9AA8"/>
    <comment s:ref="C49" rgbClr="6F9AA8"/>
    <comment s:ref="E49" rgbClr="6F9AA8"/>
    <comment s:ref="C50" rgbClr="6F9AA8"/>
    <comment s:ref="E50" rgbClr="6F9AA8"/>
    <comment s:ref="C53" rgbClr="6F9AA8"/>
    <comment s:ref="D53" rgbClr="6F9AA8"/>
    <comment s:ref="E53" rgbClr="6F9AA8"/>
    <comment s:ref="C54" rgbClr="6F9AA8"/>
    <comment s:ref="E54" rgbClr="6F9AA8"/>
    <comment s:ref="C55" rgbClr="6F9AA8"/>
    <comment s:ref="E55" rgbClr="6F9AA8"/>
    <comment s:ref="C58" rgbClr="6F9AA8"/>
    <comment s:ref="D58" rgbClr="6F9AA8"/>
    <comment s:ref="E58" rgbClr="6F9AA8"/>
    <comment s:ref="C59" rgbClr="6F9AA8"/>
    <comment s:ref="E59" rgbClr="6F9AA8"/>
    <comment s:ref="C60" rgbClr="6F9AA8"/>
    <comment s:ref="E60" rgbClr="6F9AA8"/>
    <comment s:ref="C63" rgbClr="6F9AA8"/>
    <comment s:ref="D63" rgbClr="6F9AA8"/>
    <comment s:ref="E63" rgbClr="6F9AA8"/>
    <comment s:ref="C64" rgbClr="6F9AA8"/>
    <comment s:ref="E64" rgbClr="6F9AA8"/>
    <comment s:ref="C65" rgbClr="6F9AA8"/>
    <comment s:ref="E65" rgbClr="6F9AA8"/>
  </commentList>
  <commentList sheetStid="11">
    <comment s:ref="D28" rgbClr="739848"/>
    <comment s:ref="D42" rgbClr="D3C6A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 Calculation</vt:lpstr>
      <vt:lpstr>Raw</vt:lpstr>
      <vt:lpstr>Revenue Segments</vt:lpstr>
      <vt:lpstr>McD IS</vt:lpstr>
      <vt:lpstr>McD-BS</vt:lpstr>
      <vt:lpstr>McD-CFS</vt:lpstr>
      <vt:lpstr>Debt Schedule</vt:lpstr>
      <vt:lpstr>Fixed Assets Schedule</vt:lpstr>
      <vt:lpstr>Beta</vt:lpstr>
      <vt:lpstr>WACC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Pankajj Goel</dc:creator>
  <cp:lastModifiedBy>Rizvana N</cp:lastModifiedBy>
  <dcterms:created xsi:type="dcterms:W3CDTF">2023-08-10T06:50:00Z</dcterms:created>
  <dcterms:modified xsi:type="dcterms:W3CDTF">2026-07-04T17:48:06Z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351A671F5F5B4EC481D2C123E1FB16ED</vt:lpwstr>
  </property>
  <property fmtid="{D5CDD505-2E9C-101B-9397-08002B2CF9AE}" pid="3" name="KSOProductBuildVer">
    <vt:lpwstr>1033-11.2.0.11225</vt:lpwstr>
  </property>
</Properties>
</file>